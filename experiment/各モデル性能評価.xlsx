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d821fcddbdf86f/Desktop/"/>
    </mc:Choice>
  </mc:AlternateContent>
  <xr:revisionPtr revIDLastSave="37" documentId="8_{5887C405-5028-409F-A6EE-116C8AEA7DAE}" xr6:coauthVersionLast="47" xr6:coauthVersionMax="47" xr10:uidLastSave="{98F08502-ACC2-43F2-BA07-1F842DA1A689}"/>
  <bookViews>
    <workbookView xWindow="-16320" yWindow="-990" windowWidth="16440" windowHeight="28320" activeTab="2" xr2:uid="{21CCAA34-857D-4D8B-8E1B-BB65927D697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D34" i="1"/>
  <c r="C34" i="1"/>
  <c r="B34" i="1"/>
  <c r="E45" i="1"/>
  <c r="C45" i="1"/>
  <c r="D45" i="1"/>
  <c r="B45" i="1"/>
  <c r="E23" i="1"/>
  <c r="D23" i="1"/>
  <c r="C23" i="1"/>
  <c r="B23" i="1"/>
  <c r="E91" i="1"/>
  <c r="D91" i="1"/>
  <c r="C91" i="1"/>
  <c r="B91" i="1"/>
  <c r="E79" i="1"/>
  <c r="D79" i="1"/>
  <c r="C79" i="1"/>
  <c r="B79" i="1"/>
  <c r="E68" i="1"/>
  <c r="D68" i="1"/>
  <c r="C68" i="1"/>
  <c r="B68" i="1"/>
  <c r="E57" i="1"/>
  <c r="D57" i="1"/>
  <c r="C57" i="1"/>
  <c r="B57" i="1"/>
  <c r="D12" i="1"/>
  <c r="E12" i="1"/>
  <c r="C12" i="1"/>
  <c r="B12" i="1"/>
  <c r="AF25" i="1" a="1"/>
  <c r="AF25" i="1" s="1"/>
  <c r="AF70" i="1" a="1"/>
  <c r="AF70" i="1" s="1"/>
  <c r="S82" i="1" a="1"/>
  <c r="S8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<sst xmlns="http://schemas.openxmlformats.org/spreadsheetml/2006/main" count="539" uniqueCount="79">
  <si>
    <t>densenet</t>
    <phoneticPr fontId="2"/>
  </si>
  <si>
    <t>mobilenet</t>
  </si>
  <si>
    <t>googlenet</t>
  </si>
  <si>
    <t>ResNext</t>
  </si>
  <si>
    <t>ResNet</t>
  </si>
  <si>
    <t>vgg16</t>
    <phoneticPr fontId="2"/>
  </si>
  <si>
    <t>wideresnet</t>
  </si>
  <si>
    <t>alexnet</t>
  </si>
  <si>
    <t>precision</t>
  </si>
  <si>
    <t>recall</t>
  </si>
  <si>
    <t>f1-score</t>
  </si>
  <si>
    <t>support</t>
  </si>
  <si>
    <t>ok</t>
  </si>
  <si>
    <t>out</t>
  </si>
  <si>
    <t>accuracy</t>
  </si>
  <si>
    <t>macro avg</t>
  </si>
  <si>
    <t>weighted avg</t>
  </si>
  <si>
    <t>pre</t>
  </si>
  <si>
    <t>cision</t>
  </si>
  <si>
    <t>recall  f1-sco</t>
  </si>
  <si>
    <t>re</t>
  </si>
  <si>
    <t>accu</t>
  </si>
  <si>
    <t>racy</t>
  </si>
  <si>
    <t>macro</t>
  </si>
  <si>
    <t>avg</t>
  </si>
  <si>
    <t>weighted</t>
  </si>
  <si>
    <t>preci</t>
  </si>
  <si>
    <t>sion</t>
  </si>
  <si>
    <t>re   support</t>
  </si>
  <si>
    <t>recall  f1-s</t>
  </si>
  <si>
    <t>core   suppo</t>
  </si>
  <si>
    <t>rt</t>
  </si>
  <si>
    <t>rec</t>
  </si>
  <si>
    <t>all  f1-score</t>
  </si>
  <si>
    <t>recal</t>
  </si>
  <si>
    <t>l  f1-score   s</t>
  </si>
  <si>
    <t>upport</t>
  </si>
  <si>
    <t>precisio</t>
  </si>
  <si>
    <t>n    re</t>
  </si>
  <si>
    <t>call  f1-score</t>
  </si>
  <si>
    <t>f1-score   su</t>
  </si>
  <si>
    <t>pport</t>
  </si>
  <si>
    <t>p</t>
  </si>
  <si>
    <t>recision</t>
  </si>
  <si>
    <t>recall  f</t>
  </si>
  <si>
    <t>1-score</t>
  </si>
  <si>
    <t>pr</t>
  </si>
  <si>
    <t>ecision</t>
  </si>
  <si>
    <t>recall  f1</t>
  </si>
  <si>
    <t>ecision    r</t>
  </si>
  <si>
    <t>ecall  f1</t>
  </si>
  <si>
    <t>prec</t>
  </si>
  <si>
    <t>ision    rec</t>
  </si>
  <si>
    <t>all  f1-s</t>
  </si>
  <si>
    <t>core   sup</t>
  </si>
  <si>
    <t>port</t>
  </si>
  <si>
    <t>Alexnet</t>
    <phoneticPr fontId="2"/>
  </si>
  <si>
    <t>DensNet</t>
    <phoneticPr fontId="2"/>
  </si>
  <si>
    <t>GoogleNet</t>
    <phoneticPr fontId="2"/>
  </si>
  <si>
    <t>MoblieNet</t>
    <phoneticPr fontId="2"/>
  </si>
  <si>
    <t>ResNet</t>
    <phoneticPr fontId="2"/>
  </si>
  <si>
    <t>ResNext</t>
    <phoneticPr fontId="2"/>
  </si>
  <si>
    <t>VGG16</t>
    <phoneticPr fontId="2"/>
  </si>
  <si>
    <t>WideResNet</t>
    <phoneticPr fontId="2"/>
  </si>
  <si>
    <t>accuracy</t>
    <phoneticPr fontId="2"/>
  </si>
  <si>
    <t>precision</t>
    <phoneticPr fontId="2"/>
  </si>
  <si>
    <t>recall</t>
    <phoneticPr fontId="2"/>
  </si>
  <si>
    <t>f1-score</t>
    <phoneticPr fontId="2"/>
  </si>
  <si>
    <t>Accuracy</t>
  </si>
  <si>
    <t>Precision</t>
  </si>
  <si>
    <t>Recall</t>
  </si>
  <si>
    <t>F1-score</t>
  </si>
  <si>
    <t> Alexnet</t>
  </si>
  <si>
    <t>DensNet</t>
  </si>
  <si>
    <t>GoogleNet</t>
  </si>
  <si>
    <t>MoblieNet</t>
  </si>
  <si>
    <t>VGG16</t>
  </si>
  <si>
    <t>WideResNet</t>
  </si>
  <si>
    <t> 細かいですが, 大文字小文字も統一してください.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</si>
</sst>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left" vertical="center"/>
    </xf>
    <xf numFmtId="38" fontId="3" fillId="0" borderId="0" xfId="1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38" fontId="3" fillId="3" borderId="0" xfId="1" applyFont="1" applyFill="1" applyAlignment="1">
      <alignment horizontal="left" vertical="center"/>
    </xf>
    <xf numFmtId="0" fontId="0" fillId="3" borderId="0" xfId="0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Sheet2!$L$5:$L$12</c:f>
              <c:strCache>
                <c:ptCount val="8"/>
                <c:pt idx="0">
                  <c:v>Alexnet</c:v>
                </c:pt>
                <c:pt idx="1">
                  <c:v>DensNet</c:v>
                </c:pt>
                <c:pt idx="2">
                  <c:v>GoogleNet</c:v>
                </c:pt>
                <c:pt idx="3">
                  <c:v>MoblieNet</c:v>
                </c:pt>
                <c:pt idx="4">
                  <c:v>ResNet</c:v>
                </c:pt>
                <c:pt idx="5">
                  <c:v>ResNext</c:v>
                </c:pt>
                <c:pt idx="6">
                  <c:v>VGG16</c:v>
                </c:pt>
                <c:pt idx="7">
                  <c:v>WideResNet</c:v>
                </c:pt>
              </c:strCache>
            </c:strRef>
          </c:cat>
          <c:val>
            <c:numRef>
              <c:f>Sheet2!$M$5:$M$12</c:f>
              <c:numCache>
                <c:formatCode>General</c:formatCode>
                <c:ptCount val="8"/>
                <c:pt idx="0">
                  <c:v>0.90399999999999991</c:v>
                </c:pt>
                <c:pt idx="1">
                  <c:v>0.94800000000000006</c:v>
                </c:pt>
                <c:pt idx="2">
                  <c:v>0.87199999999999989</c:v>
                </c:pt>
                <c:pt idx="3">
                  <c:v>0.95199999999999996</c:v>
                </c:pt>
                <c:pt idx="4">
                  <c:v>0.95</c:v>
                </c:pt>
                <c:pt idx="5">
                  <c:v>0.95599999999999985</c:v>
                </c:pt>
                <c:pt idx="6">
                  <c:v>0.94600000000000006</c:v>
                </c:pt>
                <c:pt idx="7">
                  <c:v>0.95599999999999985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F-47D5-AA98-23811DFE61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8017567"/>
        <c:axId val="358017087"/>
      </c:barChart>
      <c:catAx>
        <c:axId val="35801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8017087"/>
        <c:crosses val="autoZero"/>
        <c:auto val="1"/>
        <c:lblAlgn val="ctr"/>
        <c:lblOffset val="100"/>
        <c:noMultiLvlLbl val="0"/>
      </c:catAx>
      <c:valAx>
        <c:axId val="35801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801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Sheet2!$L$5:$L$12</c:f>
              <c:strCache>
                <c:ptCount val="8"/>
                <c:pt idx="0">
                  <c:v>Alexnet</c:v>
                </c:pt>
                <c:pt idx="1">
                  <c:v>DensNet</c:v>
                </c:pt>
                <c:pt idx="2">
                  <c:v>GoogleNet</c:v>
                </c:pt>
                <c:pt idx="3">
                  <c:v>MoblieNet</c:v>
                </c:pt>
                <c:pt idx="4">
                  <c:v>ResNet</c:v>
                </c:pt>
                <c:pt idx="5">
                  <c:v>ResNext</c:v>
                </c:pt>
                <c:pt idx="6">
                  <c:v>VGG16</c:v>
                </c:pt>
                <c:pt idx="7">
                  <c:v>WideResNet</c:v>
                </c:pt>
              </c:strCache>
            </c:strRef>
          </c:cat>
          <c:val>
            <c:numRef>
              <c:f>Sheet2!$N$5:$N$12</c:f>
              <c:numCache>
                <c:formatCode>General</c:formatCode>
                <c:ptCount val="8"/>
                <c:pt idx="0">
                  <c:v>0.90199999999999991</c:v>
                </c:pt>
                <c:pt idx="1">
                  <c:v>0.94750000000000001</c:v>
                </c:pt>
                <c:pt idx="2">
                  <c:v>0.87999999999999989</c:v>
                </c:pt>
                <c:pt idx="3">
                  <c:v>0.95400000000000007</c:v>
                </c:pt>
                <c:pt idx="4">
                  <c:v>0.95</c:v>
                </c:pt>
                <c:pt idx="5">
                  <c:v>0.95599999999999985</c:v>
                </c:pt>
                <c:pt idx="6">
                  <c:v>0.95199999999999996</c:v>
                </c:pt>
                <c:pt idx="7">
                  <c:v>0.96400000000000008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3-48DF-BC2E-6AD6C96335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3737631"/>
        <c:axId val="353735231"/>
      </c:barChart>
      <c:catAx>
        <c:axId val="35373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3735231"/>
        <c:crosses val="autoZero"/>
        <c:auto val="1"/>
        <c:lblAlgn val="ctr"/>
        <c:lblOffset val="100"/>
        <c:noMultiLvlLbl val="0"/>
      </c:catAx>
      <c:valAx>
        <c:axId val="3537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373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recall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Sheet2!$L$5:$L$12</c:f>
              <c:strCache>
                <c:ptCount val="8"/>
                <c:pt idx="0">
                  <c:v>Alexnet</c:v>
                </c:pt>
                <c:pt idx="1">
                  <c:v>DensNet</c:v>
                </c:pt>
                <c:pt idx="2">
                  <c:v>GoogleNet</c:v>
                </c:pt>
                <c:pt idx="3">
                  <c:v>MoblieNet</c:v>
                </c:pt>
                <c:pt idx="4">
                  <c:v>ResNet</c:v>
                </c:pt>
                <c:pt idx="5">
                  <c:v>ResNext</c:v>
                </c:pt>
                <c:pt idx="6">
                  <c:v>VGG16</c:v>
                </c:pt>
                <c:pt idx="7">
                  <c:v>WideResNet</c:v>
                </c:pt>
              </c:strCache>
            </c:strRef>
          </c:cat>
          <c:val>
            <c:numRef>
              <c:f>Sheet2!$O$5:$O$12</c:f>
              <c:numCache>
                <c:formatCode>General</c:formatCode>
                <c:ptCount val="8"/>
                <c:pt idx="0">
                  <c:v>0.90399999999999991</c:v>
                </c:pt>
                <c:pt idx="1">
                  <c:v>0.94800000000000006</c:v>
                </c:pt>
                <c:pt idx="2">
                  <c:v>0.87199999999999989</c:v>
                </c:pt>
                <c:pt idx="3">
                  <c:v>0.95199999999999996</c:v>
                </c:pt>
                <c:pt idx="4">
                  <c:v>0.95</c:v>
                </c:pt>
                <c:pt idx="5">
                  <c:v>0.95599999999999985</c:v>
                </c:pt>
                <c:pt idx="6">
                  <c:v>0.94600000000000006</c:v>
                </c:pt>
                <c:pt idx="7">
                  <c:v>0.95599999999999985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2-42A2-935B-862EE92E72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1141311"/>
        <c:axId val="351139871"/>
      </c:barChart>
      <c:catAx>
        <c:axId val="35114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139871"/>
        <c:crosses val="autoZero"/>
        <c:auto val="1"/>
        <c:lblAlgn val="ctr"/>
        <c:lblOffset val="100"/>
        <c:noMultiLvlLbl val="0"/>
      </c:catAx>
      <c:valAx>
        <c:axId val="35113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1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f1-score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Sheet2!$L$5:$L$12</c:f>
              <c:strCache>
                <c:ptCount val="8"/>
                <c:pt idx="0">
                  <c:v>Alexnet</c:v>
                </c:pt>
                <c:pt idx="1">
                  <c:v>DensNet</c:v>
                </c:pt>
                <c:pt idx="2">
                  <c:v>GoogleNet</c:v>
                </c:pt>
                <c:pt idx="3">
                  <c:v>MoblieNet</c:v>
                </c:pt>
                <c:pt idx="4">
                  <c:v>ResNet</c:v>
                </c:pt>
                <c:pt idx="5">
                  <c:v>ResNext</c:v>
                </c:pt>
                <c:pt idx="6">
                  <c:v>VGG16</c:v>
                </c:pt>
                <c:pt idx="7">
                  <c:v>WideResNet</c:v>
                </c:pt>
              </c:strCache>
            </c:strRef>
          </c:cat>
          <c:val>
            <c:numRef>
              <c:f>Sheet2!$P$5:$P$12</c:f>
              <c:numCache>
                <c:formatCode>General</c:formatCode>
                <c:ptCount val="8"/>
                <c:pt idx="0">
                  <c:v>0.90399999999999991</c:v>
                </c:pt>
                <c:pt idx="1">
                  <c:v>0.95</c:v>
                </c:pt>
                <c:pt idx="2">
                  <c:v>0.87799999999999989</c:v>
                </c:pt>
                <c:pt idx="3">
                  <c:v>0.95199999999999996</c:v>
                </c:pt>
                <c:pt idx="4">
                  <c:v>0.95</c:v>
                </c:pt>
                <c:pt idx="5">
                  <c:v>0.95399999999999996</c:v>
                </c:pt>
                <c:pt idx="6">
                  <c:v>0.94800000000000006</c:v>
                </c:pt>
                <c:pt idx="7">
                  <c:v>0.95799999999999996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E-4B81-9FA3-202B3F12A5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536287"/>
        <c:axId val="474537247"/>
      </c:barChart>
      <c:catAx>
        <c:axId val="47453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537247"/>
        <c:crosses val="autoZero"/>
        <c:auto val="1"/>
        <c:lblAlgn val="ctr"/>
        <c:lblOffset val="100"/>
        <c:noMultiLvlLbl val="0"/>
      </c:catAx>
      <c:valAx>
        <c:axId val="4745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453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338137</xdr:colOff>
      <xdr:row>11</xdr:row>
      <xdr:rowOff>123825</xdr:rowOff>
    </xdr:from>
    <xdr:to>
      <xdr:col>10</xdr:col>
      <xdr:colOff>538162</xdr:colOff>
      <xdr:row>23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D4C9FE2-C04D-31E2-7151-FC2E6C535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290512</xdr:colOff>
      <xdr:row>15</xdr:row>
      <xdr:rowOff>180975</xdr:rowOff>
    </xdr:from>
    <xdr:to>
      <xdr:col>10</xdr:col>
      <xdr:colOff>490537</xdr:colOff>
      <xdr:row>27</xdr:row>
      <xdr:rowOff>66675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D48577D-8113-F75C-8F57-528CBC13F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747712</xdr:colOff>
      <xdr:row>13</xdr:row>
      <xdr:rowOff>209550</xdr:rowOff>
    </xdr:from>
    <xdr:to>
      <xdr:col>18</xdr:col>
      <xdr:colOff>52387</xdr:colOff>
      <xdr:row>25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1AB8EF6-488E-054E-74CD-D66AF9876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471487</xdr:colOff>
      <xdr:row>10</xdr:row>
      <xdr:rowOff>47625</xdr:rowOff>
    </xdr:from>
    <xdr:to>
      <xdr:col>19</xdr:col>
      <xdr:colOff>33337</xdr:colOff>
      <xdr:row>21</xdr:row>
      <xdr:rowOff>171450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F81D7F9-42AA-A19A-A459-B6FF9D037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4CDA-4A11-4087-81AB-65E3177E30DC}">
  <dimension ref="B2:AG91"/>
  <sheetViews>
    <sheetView topLeftCell="A58" zoomScale="70" zoomScaleNormal="70" workbookViewId="0">
      <selection activeCell="B78" sqref="B78:E79"/>
    </sheetView>
  </sheetViews>
  <sheetFormatPr defaultRowHeight="18.75"/>
  <sheetData>
    <row r="2" spans="2:33">
      <c r="B2" s="3" t="s">
        <v>5</v>
      </c>
    </row>
    <row r="3" spans="2:33">
      <c r="B3" s="5" t="s">
        <v>8</v>
      </c>
      <c r="C3" t="s">
        <v>9</v>
      </c>
      <c r="D3" t="s">
        <v>10</v>
      </c>
      <c r="E3" t="s">
        <v>11</v>
      </c>
      <c r="H3" s="2" t="s">
        <v>8</v>
      </c>
      <c r="I3" t="s">
        <v>9</v>
      </c>
      <c r="J3" t="s">
        <v>10</v>
      </c>
      <c r="K3" t="s">
        <v>11</v>
      </c>
      <c r="O3" s="2"/>
      <c r="P3" t="s">
        <v>17</v>
      </c>
      <c r="Q3" t="s">
        <v>18</v>
      </c>
      <c r="R3" t="s">
        <v>19</v>
      </c>
      <c r="S3" t="s">
        <v>20</v>
      </c>
      <c r="T3" t="s">
        <v>11</v>
      </c>
      <c r="V3" t="s">
        <v>26</v>
      </c>
      <c r="W3" t="s">
        <v>27</v>
      </c>
      <c r="X3" t="s">
        <v>19</v>
      </c>
      <c r="Y3" t="s">
        <v>28</v>
      </c>
      <c r="AB3" s="2"/>
      <c r="AD3" t="s">
        <v>8</v>
      </c>
      <c r="AE3" t="s">
        <v>9</v>
      </c>
      <c r="AF3" t="s">
        <v>10</v>
      </c>
      <c r="AG3" t="s">
        <v>11</v>
      </c>
    </row>
    <row r="4" spans="2:33">
      <c r="B4" s="1"/>
      <c r="H4" s="1"/>
      <c r="O4" s="1"/>
      <c r="V4" s="2"/>
      <c r="AB4" s="1"/>
    </row>
    <row r="5" spans="2:33">
      <c r="B5" s="2" t="s">
        <v>12</v>
      </c>
      <c r="C5">
        <v>0.93</v>
      </c>
      <c r="D5">
        <v>0.85</v>
      </c>
      <c r="E5">
        <v>0.89</v>
      </c>
      <c r="F5">
        <v>47</v>
      </c>
      <c r="H5" s="2" t="s">
        <v>12</v>
      </c>
      <c r="I5">
        <v>0.98</v>
      </c>
      <c r="J5">
        <v>1</v>
      </c>
      <c r="K5">
        <v>0.99</v>
      </c>
      <c r="L5">
        <v>48</v>
      </c>
      <c r="O5" s="2"/>
      <c r="P5" t="s">
        <v>12</v>
      </c>
      <c r="Q5">
        <v>1</v>
      </c>
      <c r="R5">
        <v>0.95</v>
      </c>
      <c r="S5">
        <v>0.98</v>
      </c>
      <c r="T5">
        <v>42</v>
      </c>
      <c r="V5" s="1" t="s">
        <v>12</v>
      </c>
      <c r="W5">
        <v>0.96</v>
      </c>
      <c r="X5">
        <v>1</v>
      </c>
      <c r="Y5">
        <v>0.98</v>
      </c>
      <c r="Z5">
        <v>44</v>
      </c>
      <c r="AB5" s="2"/>
      <c r="AC5" t="s">
        <v>12</v>
      </c>
      <c r="AD5">
        <v>0.98</v>
      </c>
      <c r="AE5">
        <v>1</v>
      </c>
      <c r="AF5">
        <v>0.99</v>
      </c>
      <c r="AG5">
        <v>45</v>
      </c>
    </row>
    <row r="6" spans="2:33">
      <c r="B6" s="2" t="s">
        <v>13</v>
      </c>
      <c r="C6">
        <v>0.59</v>
      </c>
      <c r="D6">
        <v>0.77</v>
      </c>
      <c r="E6">
        <v>0.67</v>
      </c>
      <c r="F6">
        <v>13</v>
      </c>
      <c r="H6" s="2" t="s">
        <v>13</v>
      </c>
      <c r="I6">
        <v>1</v>
      </c>
      <c r="J6">
        <v>0.92</v>
      </c>
      <c r="K6">
        <v>0.96</v>
      </c>
      <c r="L6">
        <v>12</v>
      </c>
      <c r="O6" s="2"/>
      <c r="P6" t="s">
        <v>13</v>
      </c>
      <c r="Q6">
        <v>0.9</v>
      </c>
      <c r="R6">
        <v>1</v>
      </c>
      <c r="S6">
        <v>0.95</v>
      </c>
      <c r="T6">
        <v>18</v>
      </c>
      <c r="V6" s="2" t="s">
        <v>13</v>
      </c>
      <c r="W6">
        <v>1</v>
      </c>
      <c r="X6">
        <v>0.88</v>
      </c>
      <c r="Y6">
        <v>0.93</v>
      </c>
      <c r="Z6">
        <v>16</v>
      </c>
      <c r="AB6" s="2"/>
      <c r="AC6" t="s">
        <v>13</v>
      </c>
      <c r="AD6">
        <v>1</v>
      </c>
      <c r="AE6">
        <v>0.93</v>
      </c>
      <c r="AF6">
        <v>0.97</v>
      </c>
      <c r="AG6">
        <v>15</v>
      </c>
    </row>
    <row r="7" spans="2:33">
      <c r="B7" s="1"/>
      <c r="H7" s="1"/>
      <c r="O7" s="1"/>
      <c r="V7" s="2"/>
      <c r="AB7" s="1"/>
    </row>
    <row r="8" spans="2:33">
      <c r="B8" s="2" t="s">
        <v>14</v>
      </c>
      <c r="E8">
        <v>0.83</v>
      </c>
      <c r="F8">
        <v>60</v>
      </c>
      <c r="H8" s="2" t="s">
        <v>14</v>
      </c>
      <c r="K8">
        <v>0.98</v>
      </c>
      <c r="L8">
        <v>60</v>
      </c>
      <c r="O8" s="2" t="s">
        <v>21</v>
      </c>
      <c r="P8" t="s">
        <v>22</v>
      </c>
      <c r="S8">
        <v>0.97</v>
      </c>
      <c r="T8">
        <v>60</v>
      </c>
      <c r="V8" s="1" t="s">
        <v>14</v>
      </c>
      <c r="Y8">
        <v>0.97</v>
      </c>
      <c r="Z8">
        <v>60</v>
      </c>
      <c r="AB8" s="2" t="s">
        <v>21</v>
      </c>
      <c r="AC8" t="s">
        <v>22</v>
      </c>
      <c r="AF8">
        <v>0.98</v>
      </c>
      <c r="AG8">
        <v>60</v>
      </c>
    </row>
    <row r="9" spans="2:33">
      <c r="B9" s="2" t="s">
        <v>15</v>
      </c>
      <c r="C9">
        <v>0.76</v>
      </c>
      <c r="D9">
        <v>0.81</v>
      </c>
      <c r="E9">
        <v>0.78</v>
      </c>
      <c r="F9">
        <v>60</v>
      </c>
      <c r="H9" s="2" t="s">
        <v>15</v>
      </c>
      <c r="I9">
        <v>0.99</v>
      </c>
      <c r="J9">
        <v>0.96</v>
      </c>
      <c r="K9">
        <v>0.97</v>
      </c>
      <c r="L9">
        <v>60</v>
      </c>
      <c r="O9" s="2" t="s">
        <v>23</v>
      </c>
      <c r="P9" t="s">
        <v>24</v>
      </c>
      <c r="Q9">
        <v>0.95</v>
      </c>
      <c r="R9">
        <v>0.98</v>
      </c>
      <c r="S9">
        <v>0.96</v>
      </c>
      <c r="T9">
        <v>60</v>
      </c>
      <c r="V9" s="2" t="s">
        <v>15</v>
      </c>
      <c r="W9">
        <v>0.98</v>
      </c>
      <c r="X9">
        <v>0.94</v>
      </c>
      <c r="Y9">
        <v>0.96</v>
      </c>
      <c r="Z9">
        <v>60</v>
      </c>
      <c r="AB9" s="2" t="s">
        <v>23</v>
      </c>
      <c r="AC9" t="s">
        <v>24</v>
      </c>
      <c r="AD9">
        <v>0.99</v>
      </c>
      <c r="AE9">
        <v>0.97</v>
      </c>
      <c r="AF9">
        <v>0.98</v>
      </c>
      <c r="AG9">
        <v>60</v>
      </c>
    </row>
    <row r="10" spans="2:33">
      <c r="B10" s="2" t="s">
        <v>16</v>
      </c>
      <c r="C10">
        <v>0.86</v>
      </c>
      <c r="D10">
        <v>0.83</v>
      </c>
      <c r="E10">
        <v>0.84</v>
      </c>
      <c r="F10">
        <v>60</v>
      </c>
      <c r="H10" s="2" t="s">
        <v>16</v>
      </c>
      <c r="I10">
        <v>0.98</v>
      </c>
      <c r="J10">
        <v>0.98</v>
      </c>
      <c r="K10">
        <v>0.98</v>
      </c>
      <c r="L10">
        <v>60</v>
      </c>
      <c r="O10" s="2" t="s">
        <v>25</v>
      </c>
      <c r="P10" t="s">
        <v>24</v>
      </c>
      <c r="Q10">
        <v>0.97</v>
      </c>
      <c r="R10">
        <v>0.97</v>
      </c>
      <c r="S10">
        <v>0.97</v>
      </c>
      <c r="T10">
        <v>60</v>
      </c>
      <c r="V10" s="2" t="s">
        <v>16</v>
      </c>
      <c r="W10">
        <v>0.97</v>
      </c>
      <c r="X10">
        <v>0.97</v>
      </c>
      <c r="Y10">
        <v>0.97</v>
      </c>
      <c r="Z10">
        <v>60</v>
      </c>
      <c r="AB10" s="2" t="s">
        <v>25</v>
      </c>
      <c r="AC10" t="s">
        <v>24</v>
      </c>
      <c r="AD10">
        <v>0.98</v>
      </c>
      <c r="AE10">
        <v>0.98</v>
      </c>
      <c r="AF10">
        <v>0.98</v>
      </c>
      <c r="AG10">
        <v>60</v>
      </c>
    </row>
    <row r="11" spans="2:33">
      <c r="B11" s="6" t="s">
        <v>14</v>
      </c>
      <c r="C11" s="7" t="s">
        <v>8</v>
      </c>
      <c r="D11" s="8" t="s">
        <v>9</v>
      </c>
      <c r="E11" s="8" t="s">
        <v>10</v>
      </c>
      <c r="H11" s="2"/>
      <c r="O11" s="2"/>
      <c r="V11" s="2"/>
      <c r="AB11" s="2"/>
    </row>
    <row r="12" spans="2:33">
      <c r="B12" s="8">
        <f>AVERAGE(E8,K8,S8,Y8,AF8)</f>
        <v>0.94600000000000006</v>
      </c>
      <c r="C12" s="8">
        <f>AVERAGE(C10,I10,Q10,W10,AD10)</f>
        <v>0.95199999999999996</v>
      </c>
      <c r="D12" s="8">
        <f t="shared" ref="D12:E12" si="0">AVERAGE(D10,J10,R10,X10,AE10)</f>
        <v>0.94600000000000006</v>
      </c>
      <c r="E12" s="8">
        <f t="shared" si="0"/>
        <v>0.94800000000000006</v>
      </c>
    </row>
    <row r="13" spans="2:33">
      <c r="B13" s="4" t="s">
        <v>0</v>
      </c>
    </row>
    <row r="14" spans="2:33">
      <c r="B14" s="2"/>
      <c r="C14" t="s">
        <v>8</v>
      </c>
      <c r="D14" t="s">
        <v>9</v>
      </c>
      <c r="E14" t="s">
        <v>10</v>
      </c>
      <c r="F14" t="s">
        <v>11</v>
      </c>
      <c r="H14" s="2"/>
      <c r="J14" t="s">
        <v>8</v>
      </c>
      <c r="K14" t="s">
        <v>9</v>
      </c>
      <c r="L14" t="s">
        <v>10</v>
      </c>
      <c r="M14" t="s">
        <v>11</v>
      </c>
      <c r="O14" s="2"/>
      <c r="Q14" t="s">
        <v>8</v>
      </c>
      <c r="R14" t="s">
        <v>9</v>
      </c>
      <c r="S14" t="s">
        <v>10</v>
      </c>
      <c r="T14" t="s">
        <v>11</v>
      </c>
      <c r="V14" t="s">
        <v>17</v>
      </c>
      <c r="W14" t="s">
        <v>18</v>
      </c>
      <c r="X14" t="s">
        <v>29</v>
      </c>
      <c r="Y14" t="s">
        <v>30</v>
      </c>
      <c r="Z14" t="s">
        <v>31</v>
      </c>
      <c r="AB14" s="2"/>
      <c r="AD14" t="s">
        <v>8</v>
      </c>
      <c r="AE14" t="s">
        <v>9</v>
      </c>
      <c r="AF14" t="s">
        <v>10</v>
      </c>
      <c r="AG14" t="s">
        <v>11</v>
      </c>
    </row>
    <row r="15" spans="2:33">
      <c r="B15" s="1"/>
      <c r="H15" s="1"/>
      <c r="O15" s="1"/>
      <c r="V15" s="2"/>
      <c r="AB15" s="1"/>
    </row>
    <row r="16" spans="2:33">
      <c r="B16" s="2" t="s">
        <v>12</v>
      </c>
      <c r="C16">
        <v>0.95</v>
      </c>
      <c r="D16">
        <v>0.85</v>
      </c>
      <c r="E16">
        <v>0.9</v>
      </c>
      <c r="F16">
        <v>47</v>
      </c>
      <c r="H16" s="2"/>
      <c r="I16" t="s">
        <v>12</v>
      </c>
      <c r="J16">
        <v>0.98</v>
      </c>
      <c r="K16">
        <v>1</v>
      </c>
      <c r="L16">
        <v>0.99</v>
      </c>
      <c r="M16">
        <v>48</v>
      </c>
      <c r="O16" s="2"/>
      <c r="P16" t="s">
        <v>12</v>
      </c>
      <c r="Q16">
        <v>0.98</v>
      </c>
      <c r="R16">
        <v>0.95</v>
      </c>
      <c r="S16">
        <v>0.96</v>
      </c>
      <c r="T16">
        <v>42</v>
      </c>
      <c r="V16" s="1" t="s">
        <v>12</v>
      </c>
      <c r="W16">
        <v>0.98</v>
      </c>
      <c r="X16">
        <v>1</v>
      </c>
      <c r="Y16">
        <v>0.99</v>
      </c>
      <c r="Z16">
        <v>44</v>
      </c>
      <c r="AB16" s="2"/>
      <c r="AC16" t="s">
        <v>12</v>
      </c>
      <c r="AD16">
        <v>0.98</v>
      </c>
      <c r="AE16">
        <v>1</v>
      </c>
      <c r="AF16">
        <v>0.99</v>
      </c>
      <c r="AG16">
        <v>45</v>
      </c>
    </row>
    <row r="17" spans="2:33">
      <c r="B17" s="2" t="s">
        <v>13</v>
      </c>
      <c r="C17">
        <v>0.61</v>
      </c>
      <c r="D17">
        <v>0.85</v>
      </c>
      <c r="E17">
        <v>0.71</v>
      </c>
      <c r="F17">
        <v>13</v>
      </c>
      <c r="H17" s="2"/>
      <c r="I17" t="s">
        <v>13</v>
      </c>
      <c r="J17">
        <v>1</v>
      </c>
      <c r="K17">
        <v>0.92</v>
      </c>
      <c r="L17">
        <v>0.96</v>
      </c>
      <c r="M17">
        <v>12</v>
      </c>
      <c r="O17" s="2"/>
      <c r="P17" t="s">
        <v>13</v>
      </c>
      <c r="Q17">
        <v>0.89</v>
      </c>
      <c r="R17">
        <v>0.94</v>
      </c>
      <c r="S17">
        <v>0.92</v>
      </c>
      <c r="T17">
        <v>18</v>
      </c>
      <c r="V17" s="2" t="s">
        <v>13</v>
      </c>
      <c r="W17">
        <v>1</v>
      </c>
      <c r="X17">
        <v>0.94</v>
      </c>
      <c r="Y17">
        <v>0.97</v>
      </c>
      <c r="Z17">
        <v>16</v>
      </c>
      <c r="AB17" s="2"/>
      <c r="AC17" t="s">
        <v>13</v>
      </c>
      <c r="AD17">
        <v>1</v>
      </c>
      <c r="AE17">
        <v>0.93</v>
      </c>
      <c r="AF17">
        <v>0.97</v>
      </c>
      <c r="AG17">
        <v>15</v>
      </c>
    </row>
    <row r="18" spans="2:33">
      <c r="B18" s="1"/>
      <c r="H18" s="1"/>
      <c r="O18" s="1"/>
      <c r="V18" s="2"/>
      <c r="AB18" s="1"/>
    </row>
    <row r="19" spans="2:33">
      <c r="B19" s="2" t="s">
        <v>14</v>
      </c>
      <c r="E19">
        <v>0.85</v>
      </c>
      <c r="F19">
        <v>60</v>
      </c>
      <c r="H19" s="2" t="s">
        <v>21</v>
      </c>
      <c r="I19" t="s">
        <v>22</v>
      </c>
      <c r="L19">
        <v>0.98</v>
      </c>
      <c r="M19">
        <v>60</v>
      </c>
      <c r="O19" s="2" t="s">
        <v>21</v>
      </c>
      <c r="P19" t="s">
        <v>22</v>
      </c>
      <c r="S19">
        <v>0.95</v>
      </c>
      <c r="T19">
        <v>60</v>
      </c>
      <c r="V19" s="1" t="s">
        <v>14</v>
      </c>
      <c r="Y19">
        <v>0.98</v>
      </c>
      <c r="Z19">
        <v>60</v>
      </c>
      <c r="AB19" s="2" t="s">
        <v>21</v>
      </c>
      <c r="AC19" t="s">
        <v>22</v>
      </c>
      <c r="AF19">
        <v>0.98</v>
      </c>
      <c r="AG19">
        <v>60</v>
      </c>
    </row>
    <row r="20" spans="2:33">
      <c r="B20" s="2" t="s">
        <v>15</v>
      </c>
      <c r="C20">
        <v>0.78</v>
      </c>
      <c r="D20">
        <v>0.85</v>
      </c>
      <c r="E20">
        <v>0.8</v>
      </c>
      <c r="F20">
        <v>60</v>
      </c>
      <c r="H20" s="2" t="s">
        <v>23</v>
      </c>
      <c r="I20" t="s">
        <v>24</v>
      </c>
      <c r="J20">
        <v>0.99</v>
      </c>
      <c r="K20">
        <v>0.96</v>
      </c>
      <c r="L20">
        <v>0.97</v>
      </c>
      <c r="M20">
        <v>60</v>
      </c>
      <c r="O20" s="2" t="s">
        <v>23</v>
      </c>
      <c r="P20" t="s">
        <v>24</v>
      </c>
      <c r="Q20">
        <v>0.94</v>
      </c>
      <c r="R20">
        <v>0.95</v>
      </c>
      <c r="S20">
        <v>0.94</v>
      </c>
      <c r="T20">
        <v>60</v>
      </c>
      <c r="V20" s="2" t="s">
        <v>15</v>
      </c>
      <c r="W20">
        <v>0.99</v>
      </c>
      <c r="X20">
        <v>0.97</v>
      </c>
      <c r="Y20">
        <v>0.98</v>
      </c>
      <c r="Z20">
        <v>60</v>
      </c>
      <c r="AB20" s="2" t="s">
        <v>23</v>
      </c>
      <c r="AC20" t="s">
        <v>24</v>
      </c>
      <c r="AD20">
        <v>0.99</v>
      </c>
      <c r="AE20">
        <v>0.97</v>
      </c>
      <c r="AF20">
        <v>0.98</v>
      </c>
      <c r="AG20">
        <v>60</v>
      </c>
    </row>
    <row r="21" spans="2:33">
      <c r="B21" s="2" t="s">
        <v>16</v>
      </c>
      <c r="C21">
        <v>0.88</v>
      </c>
      <c r="D21">
        <v>0.85</v>
      </c>
      <c r="E21">
        <v>0.86</v>
      </c>
      <c r="F21">
        <v>60</v>
      </c>
      <c r="H21" s="2" t="s">
        <v>25</v>
      </c>
      <c r="I21" t="s">
        <v>24</v>
      </c>
      <c r="J21">
        <v>0.98</v>
      </c>
      <c r="K21">
        <v>0.98</v>
      </c>
      <c r="L21">
        <v>0.98</v>
      </c>
      <c r="M21">
        <v>60</v>
      </c>
      <c r="O21" s="2" t="s">
        <v>25</v>
      </c>
      <c r="P21" t="s">
        <v>24</v>
      </c>
      <c r="Q21">
        <v>0.95</v>
      </c>
      <c r="R21">
        <v>0.95</v>
      </c>
      <c r="S21">
        <v>0.95</v>
      </c>
      <c r="T21">
        <v>60</v>
      </c>
      <c r="V21" s="2" t="s">
        <v>16</v>
      </c>
      <c r="W21">
        <v>0.98</v>
      </c>
      <c r="X21">
        <v>0.98</v>
      </c>
      <c r="Y21">
        <v>0.98</v>
      </c>
      <c r="Z21">
        <v>60</v>
      </c>
      <c r="AB21" s="2" t="s">
        <v>25</v>
      </c>
      <c r="AC21" t="s">
        <v>24</v>
      </c>
      <c r="AD21">
        <v>0.98</v>
      </c>
      <c r="AE21">
        <v>0.98</v>
      </c>
      <c r="AF21">
        <v>0.98</v>
      </c>
      <c r="AG21">
        <v>60</v>
      </c>
    </row>
    <row r="22" spans="2:33">
      <c r="B22" s="6" t="s">
        <v>14</v>
      </c>
      <c r="C22" s="7" t="s">
        <v>8</v>
      </c>
      <c r="D22" s="8" t="s">
        <v>9</v>
      </c>
      <c r="E22" s="8" t="s">
        <v>10</v>
      </c>
    </row>
    <row r="23" spans="2:33">
      <c r="B23" s="8">
        <f>AVERAGE(E19,L19,S19,Y19,AF19)</f>
        <v>0.94800000000000006</v>
      </c>
      <c r="C23" s="8">
        <f>AVERAGE(C21,I21,Q21,W21,AD21)</f>
        <v>0.94750000000000001</v>
      </c>
      <c r="D23" s="8">
        <f>AVERAGE(D21,K21,R21,X21,AE21)</f>
        <v>0.94800000000000006</v>
      </c>
      <c r="E23" s="8">
        <f>AVERAGE(E21,L21,S21,Y21,AF21)</f>
        <v>0.95</v>
      </c>
    </row>
    <row r="24" spans="2:33">
      <c r="B24" s="4" t="s">
        <v>1</v>
      </c>
    </row>
    <row r="25" spans="2:33">
      <c r="B25" s="2"/>
      <c r="C25" t="s">
        <v>8</v>
      </c>
      <c r="D25" t="s">
        <v>9</v>
      </c>
      <c r="E25" t="s">
        <v>10</v>
      </c>
      <c r="F25" t="s">
        <v>11</v>
      </c>
      <c r="H25" s="2"/>
      <c r="J25" t="s">
        <v>8</v>
      </c>
      <c r="K25" t="s">
        <v>9</v>
      </c>
      <c r="L25" t="s">
        <v>10</v>
      </c>
      <c r="M25" t="s">
        <v>11</v>
      </c>
      <c r="O25" s="2"/>
      <c r="Q25" t="s">
        <v>8</v>
      </c>
      <c r="R25" t="s">
        <v>9</v>
      </c>
      <c r="S25" t="s">
        <v>10</v>
      </c>
      <c r="T25" t="s">
        <v>11</v>
      </c>
      <c r="V25" t="s">
        <v>8</v>
      </c>
      <c r="W25" t="s">
        <v>32</v>
      </c>
      <c r="X25" t="s">
        <v>33</v>
      </c>
      <c r="Y25" t="s">
        <v>11</v>
      </c>
      <c r="AB25" s="2"/>
      <c r="AC25" t="s">
        <v>46</v>
      </c>
      <c r="AD25" t="s">
        <v>49</v>
      </c>
      <c r="AE25" t="s">
        <v>50</v>
      </c>
      <c r="AF25" t="e" cm="1">
        <f t="array" ref="AF25">-score   s</f>
        <v>#NAME?</v>
      </c>
      <c r="AG25" t="s">
        <v>36</v>
      </c>
    </row>
    <row r="26" spans="2:33">
      <c r="B26" s="1"/>
      <c r="H26" s="1"/>
      <c r="O26" s="1"/>
      <c r="V26" s="2"/>
      <c r="AB26" s="1"/>
    </row>
    <row r="27" spans="2:33">
      <c r="B27" s="2" t="s">
        <v>12</v>
      </c>
      <c r="C27">
        <v>0.93</v>
      </c>
      <c r="D27">
        <v>0.91</v>
      </c>
      <c r="E27">
        <v>0.92</v>
      </c>
      <c r="F27">
        <v>47</v>
      </c>
      <c r="H27" s="2"/>
      <c r="I27" t="s">
        <v>12</v>
      </c>
      <c r="J27">
        <v>0.98</v>
      </c>
      <c r="K27">
        <v>1</v>
      </c>
      <c r="L27">
        <v>0.99</v>
      </c>
      <c r="M27">
        <v>48</v>
      </c>
      <c r="O27" s="2"/>
      <c r="P27" t="s">
        <v>12</v>
      </c>
      <c r="Q27">
        <v>0.98</v>
      </c>
      <c r="R27">
        <v>0.95</v>
      </c>
      <c r="S27">
        <v>0.96</v>
      </c>
      <c r="T27">
        <v>42</v>
      </c>
      <c r="V27" s="1" t="s">
        <v>12</v>
      </c>
      <c r="W27">
        <v>1</v>
      </c>
      <c r="X27">
        <v>1</v>
      </c>
      <c r="Y27">
        <v>1</v>
      </c>
      <c r="Z27">
        <v>44</v>
      </c>
      <c r="AB27" s="2"/>
      <c r="AC27" t="s">
        <v>12</v>
      </c>
      <c r="AD27">
        <v>0.94</v>
      </c>
      <c r="AE27">
        <v>1</v>
      </c>
      <c r="AF27">
        <v>0.97</v>
      </c>
      <c r="AG27">
        <v>45</v>
      </c>
    </row>
    <row r="28" spans="2:33">
      <c r="B28" s="2" t="s">
        <v>13</v>
      </c>
      <c r="C28">
        <v>0.71</v>
      </c>
      <c r="D28">
        <v>0.77</v>
      </c>
      <c r="E28">
        <v>0.74</v>
      </c>
      <c r="F28">
        <v>13</v>
      </c>
      <c r="H28" s="2"/>
      <c r="I28" t="s">
        <v>13</v>
      </c>
      <c r="J28">
        <v>1</v>
      </c>
      <c r="K28">
        <v>0.92</v>
      </c>
      <c r="L28">
        <v>0.96</v>
      </c>
      <c r="M28">
        <v>12</v>
      </c>
      <c r="O28" s="2"/>
      <c r="P28" t="s">
        <v>13</v>
      </c>
      <c r="Q28">
        <v>0.89</v>
      </c>
      <c r="R28">
        <v>0.94</v>
      </c>
      <c r="S28">
        <v>0.92</v>
      </c>
      <c r="T28">
        <v>18</v>
      </c>
      <c r="V28" s="2" t="s">
        <v>13</v>
      </c>
      <c r="W28">
        <v>1</v>
      </c>
      <c r="X28">
        <v>1</v>
      </c>
      <c r="Y28">
        <v>1</v>
      </c>
      <c r="Z28">
        <v>16</v>
      </c>
      <c r="AB28" s="2"/>
      <c r="AC28" t="s">
        <v>13</v>
      </c>
      <c r="AD28">
        <v>1</v>
      </c>
      <c r="AE28">
        <v>0.8</v>
      </c>
      <c r="AF28">
        <v>0.89</v>
      </c>
      <c r="AG28">
        <v>15</v>
      </c>
    </row>
    <row r="29" spans="2:33">
      <c r="B29" s="1"/>
      <c r="H29" s="1"/>
      <c r="O29" s="1"/>
      <c r="V29" s="2"/>
      <c r="AB29" s="1"/>
    </row>
    <row r="30" spans="2:33">
      <c r="B30" s="2" t="s">
        <v>14</v>
      </c>
      <c r="E30">
        <v>0.88</v>
      </c>
      <c r="F30">
        <v>60</v>
      </c>
      <c r="H30" s="2" t="s">
        <v>21</v>
      </c>
      <c r="I30" t="s">
        <v>22</v>
      </c>
      <c r="L30">
        <v>0.98</v>
      </c>
      <c r="M30">
        <v>60</v>
      </c>
      <c r="O30" s="2" t="s">
        <v>21</v>
      </c>
      <c r="P30" t="s">
        <v>22</v>
      </c>
      <c r="S30">
        <v>0.95</v>
      </c>
      <c r="T30">
        <v>60</v>
      </c>
      <c r="V30" s="1" t="s">
        <v>14</v>
      </c>
      <c r="Y30">
        <v>1</v>
      </c>
      <c r="Z30">
        <v>60</v>
      </c>
      <c r="AB30" s="2" t="s">
        <v>21</v>
      </c>
      <c r="AC30" t="s">
        <v>22</v>
      </c>
      <c r="AF30">
        <v>0.95</v>
      </c>
      <c r="AG30">
        <v>60</v>
      </c>
    </row>
    <row r="31" spans="2:33">
      <c r="B31" s="2" t="s">
        <v>15</v>
      </c>
      <c r="C31">
        <v>0.82</v>
      </c>
      <c r="D31">
        <v>0.84</v>
      </c>
      <c r="E31">
        <v>0.83</v>
      </c>
      <c r="F31">
        <v>60</v>
      </c>
      <c r="H31" s="2" t="s">
        <v>23</v>
      </c>
      <c r="I31" t="s">
        <v>24</v>
      </c>
      <c r="J31">
        <v>0.99</v>
      </c>
      <c r="K31">
        <v>0.96</v>
      </c>
      <c r="L31">
        <v>0.97</v>
      </c>
      <c r="M31">
        <v>60</v>
      </c>
      <c r="O31" s="2" t="s">
        <v>23</v>
      </c>
      <c r="P31" t="s">
        <v>24</v>
      </c>
      <c r="Q31">
        <v>0.94</v>
      </c>
      <c r="R31">
        <v>0.95</v>
      </c>
      <c r="S31">
        <v>0.94</v>
      </c>
      <c r="T31">
        <v>60</v>
      </c>
      <c r="V31" s="2" t="s">
        <v>15</v>
      </c>
      <c r="W31">
        <v>1</v>
      </c>
      <c r="X31">
        <v>1</v>
      </c>
      <c r="Y31">
        <v>1</v>
      </c>
      <c r="Z31">
        <v>60</v>
      </c>
      <c r="AB31" s="2" t="s">
        <v>23</v>
      </c>
      <c r="AC31" t="s">
        <v>24</v>
      </c>
      <c r="AD31">
        <v>0.97</v>
      </c>
      <c r="AE31">
        <v>0.9</v>
      </c>
      <c r="AF31">
        <v>0.93</v>
      </c>
      <c r="AG31">
        <v>60</v>
      </c>
    </row>
    <row r="32" spans="2:33">
      <c r="B32" s="2" t="s">
        <v>16</v>
      </c>
      <c r="C32">
        <v>0.89</v>
      </c>
      <c r="D32">
        <v>0.88</v>
      </c>
      <c r="E32">
        <v>0.88</v>
      </c>
      <c r="F32">
        <v>60</v>
      </c>
      <c r="H32" s="2" t="s">
        <v>25</v>
      </c>
      <c r="I32" t="s">
        <v>24</v>
      </c>
      <c r="J32">
        <v>0.98</v>
      </c>
      <c r="K32">
        <v>0.98</v>
      </c>
      <c r="L32">
        <v>0.98</v>
      </c>
      <c r="M32">
        <v>60</v>
      </c>
      <c r="O32" s="2" t="s">
        <v>25</v>
      </c>
      <c r="P32" t="s">
        <v>24</v>
      </c>
      <c r="Q32">
        <v>0.95</v>
      </c>
      <c r="R32">
        <v>0.95</v>
      </c>
      <c r="S32">
        <v>0.95</v>
      </c>
      <c r="T32">
        <v>60</v>
      </c>
      <c r="V32" s="2" t="s">
        <v>16</v>
      </c>
      <c r="W32">
        <v>1</v>
      </c>
      <c r="X32">
        <v>1</v>
      </c>
      <c r="Y32">
        <v>1</v>
      </c>
      <c r="Z32">
        <v>60</v>
      </c>
      <c r="AB32" s="2" t="s">
        <v>25</v>
      </c>
      <c r="AC32" t="s">
        <v>24</v>
      </c>
      <c r="AD32">
        <v>0.95</v>
      </c>
      <c r="AE32">
        <v>0.95</v>
      </c>
      <c r="AF32">
        <v>0.95</v>
      </c>
      <c r="AG32">
        <v>60</v>
      </c>
    </row>
    <row r="33" spans="2:33">
      <c r="B33" s="6" t="s">
        <v>14</v>
      </c>
      <c r="C33" s="7" t="s">
        <v>8</v>
      </c>
      <c r="D33" s="8" t="s">
        <v>9</v>
      </c>
      <c r="E33" s="8" t="s">
        <v>10</v>
      </c>
    </row>
    <row r="34" spans="2:33">
      <c r="B34" s="8">
        <f>AVERAGE(E30,L30,S30,Y30,AF30)</f>
        <v>0.95199999999999996</v>
      </c>
      <c r="C34" s="8">
        <f>AVERAGE(C32,J32,Q32,W32,AD32)</f>
        <v>0.95400000000000007</v>
      </c>
      <c r="D34" s="8">
        <f>AVERAGE(D32,K32,R32,X32,AE32)</f>
        <v>0.95199999999999996</v>
      </c>
      <c r="E34" s="8">
        <f>AVERAGE(E32,K32,S32,Y32,AF32)</f>
        <v>0.95199999999999996</v>
      </c>
    </row>
    <row r="35" spans="2:33">
      <c r="B35" s="4" t="s">
        <v>2</v>
      </c>
    </row>
    <row r="36" spans="2:33">
      <c r="B36" s="2"/>
      <c r="C36" t="s">
        <v>8</v>
      </c>
      <c r="D36" t="s">
        <v>9</v>
      </c>
      <c r="E36" t="s">
        <v>10</v>
      </c>
      <c r="F36" t="s">
        <v>11</v>
      </c>
      <c r="H36" s="2"/>
      <c r="J36" t="s">
        <v>8</v>
      </c>
      <c r="K36" t="s">
        <v>9</v>
      </c>
      <c r="L36" t="s">
        <v>10</v>
      </c>
      <c r="M36" t="s">
        <v>11</v>
      </c>
      <c r="O36" s="2"/>
      <c r="Q36" t="s">
        <v>8</v>
      </c>
      <c r="R36" t="s">
        <v>9</v>
      </c>
      <c r="S36" t="s">
        <v>10</v>
      </c>
      <c r="T36" t="s">
        <v>11</v>
      </c>
      <c r="V36" t="s">
        <v>17</v>
      </c>
      <c r="W36" t="s">
        <v>18</v>
      </c>
      <c r="X36" t="s">
        <v>29</v>
      </c>
      <c r="Y36" t="s">
        <v>30</v>
      </c>
      <c r="Z36" t="s">
        <v>31</v>
      </c>
      <c r="AB36" s="2"/>
      <c r="AD36" t="s">
        <v>8</v>
      </c>
      <c r="AE36" t="s">
        <v>9</v>
      </c>
      <c r="AF36" t="s">
        <v>10</v>
      </c>
      <c r="AG36" t="s">
        <v>11</v>
      </c>
    </row>
    <row r="37" spans="2:33">
      <c r="B37" s="1"/>
      <c r="H37" s="1"/>
      <c r="O37" s="1"/>
      <c r="V37" s="2"/>
      <c r="AB37" s="1"/>
    </row>
    <row r="38" spans="2:33">
      <c r="B38" s="2" t="s">
        <v>12</v>
      </c>
      <c r="C38">
        <v>0.88</v>
      </c>
      <c r="D38">
        <v>0.82</v>
      </c>
      <c r="E38">
        <v>0.85</v>
      </c>
      <c r="F38">
        <v>45</v>
      </c>
      <c r="H38" s="2"/>
      <c r="I38" t="s">
        <v>12</v>
      </c>
      <c r="J38">
        <v>0.91</v>
      </c>
      <c r="K38">
        <v>0.87</v>
      </c>
      <c r="L38">
        <v>0.89</v>
      </c>
      <c r="M38">
        <v>45</v>
      </c>
      <c r="O38" s="2"/>
      <c r="P38" t="s">
        <v>12</v>
      </c>
      <c r="Q38">
        <v>0.91</v>
      </c>
      <c r="R38">
        <v>0.87</v>
      </c>
      <c r="S38">
        <v>0.89</v>
      </c>
      <c r="T38">
        <v>45</v>
      </c>
      <c r="V38" s="1" t="s">
        <v>12</v>
      </c>
      <c r="W38">
        <v>0.94</v>
      </c>
      <c r="X38">
        <v>1</v>
      </c>
      <c r="Y38">
        <v>0.97</v>
      </c>
      <c r="Z38">
        <v>45</v>
      </c>
      <c r="AB38" s="2"/>
      <c r="AC38" t="s">
        <v>12</v>
      </c>
      <c r="AD38">
        <v>0.98</v>
      </c>
      <c r="AE38">
        <v>0.98</v>
      </c>
      <c r="AF38">
        <v>0.98</v>
      </c>
      <c r="AG38">
        <v>46</v>
      </c>
    </row>
    <row r="39" spans="2:33">
      <c r="B39" s="2" t="s">
        <v>13</v>
      </c>
      <c r="C39">
        <v>0.56000000000000005</v>
      </c>
      <c r="D39">
        <v>0.67</v>
      </c>
      <c r="E39">
        <v>0.61</v>
      </c>
      <c r="F39">
        <v>15</v>
      </c>
      <c r="H39" s="2"/>
      <c r="I39" t="s">
        <v>13</v>
      </c>
      <c r="J39">
        <v>0.65</v>
      </c>
      <c r="K39">
        <v>0.73</v>
      </c>
      <c r="L39">
        <v>0.69</v>
      </c>
      <c r="M39">
        <v>15</v>
      </c>
      <c r="O39" s="2"/>
      <c r="P39" t="s">
        <v>13</v>
      </c>
      <c r="Q39">
        <v>0.65</v>
      </c>
      <c r="R39">
        <v>0.73</v>
      </c>
      <c r="S39">
        <v>0.69</v>
      </c>
      <c r="T39">
        <v>15</v>
      </c>
      <c r="V39" s="2" t="s">
        <v>13</v>
      </c>
      <c r="W39">
        <v>1</v>
      </c>
      <c r="X39">
        <v>0.8</v>
      </c>
      <c r="Y39">
        <v>0.89</v>
      </c>
      <c r="Z39">
        <v>15</v>
      </c>
      <c r="AB39" s="2"/>
      <c r="AC39" t="s">
        <v>13</v>
      </c>
      <c r="AD39">
        <v>0.93</v>
      </c>
      <c r="AE39">
        <v>0.93</v>
      </c>
      <c r="AF39">
        <v>0.93</v>
      </c>
      <c r="AG39">
        <v>14</v>
      </c>
    </row>
    <row r="40" spans="2:33">
      <c r="B40" s="1"/>
      <c r="H40" s="1"/>
      <c r="O40" s="1"/>
      <c r="V40" s="2"/>
      <c r="AB40" s="1"/>
    </row>
    <row r="41" spans="2:33">
      <c r="B41" s="2" t="s">
        <v>14</v>
      </c>
      <c r="E41">
        <v>0.78</v>
      </c>
      <c r="F41">
        <v>60</v>
      </c>
      <c r="H41" s="2" t="s">
        <v>21</v>
      </c>
      <c r="I41" t="s">
        <v>22</v>
      </c>
      <c r="L41">
        <v>0.83</v>
      </c>
      <c r="M41">
        <v>60</v>
      </c>
      <c r="O41" s="2" t="s">
        <v>21</v>
      </c>
      <c r="P41" t="s">
        <v>22</v>
      </c>
      <c r="S41">
        <v>0.83</v>
      </c>
      <c r="T41">
        <v>60</v>
      </c>
      <c r="V41" s="1" t="s">
        <v>14</v>
      </c>
      <c r="Y41">
        <v>0.95</v>
      </c>
      <c r="Z41">
        <v>60</v>
      </c>
      <c r="AB41" s="2" t="s">
        <v>21</v>
      </c>
      <c r="AC41" t="s">
        <v>22</v>
      </c>
      <c r="AF41">
        <v>0.97</v>
      </c>
      <c r="AG41">
        <v>60</v>
      </c>
    </row>
    <row r="42" spans="2:33">
      <c r="B42" s="2" t="s">
        <v>15</v>
      </c>
      <c r="C42">
        <v>0.72</v>
      </c>
      <c r="D42">
        <v>0.74</v>
      </c>
      <c r="E42">
        <v>0.73</v>
      </c>
      <c r="F42">
        <v>60</v>
      </c>
      <c r="H42" s="2" t="s">
        <v>23</v>
      </c>
      <c r="I42" t="s">
        <v>24</v>
      </c>
      <c r="J42">
        <v>0.78</v>
      </c>
      <c r="K42">
        <v>0.8</v>
      </c>
      <c r="L42">
        <v>0.79</v>
      </c>
      <c r="M42">
        <v>60</v>
      </c>
      <c r="O42" s="2" t="s">
        <v>23</v>
      </c>
      <c r="P42" t="s">
        <v>24</v>
      </c>
      <c r="Q42">
        <v>0.78</v>
      </c>
      <c r="R42">
        <v>0.8</v>
      </c>
      <c r="S42">
        <v>0.79</v>
      </c>
      <c r="T42">
        <v>60</v>
      </c>
      <c r="V42" s="2" t="s">
        <v>15</v>
      </c>
      <c r="W42">
        <v>0.97</v>
      </c>
      <c r="X42">
        <v>0.9</v>
      </c>
      <c r="Y42">
        <v>0.93</v>
      </c>
      <c r="Z42">
        <v>60</v>
      </c>
      <c r="AB42" s="2" t="s">
        <v>23</v>
      </c>
      <c r="AC42" t="s">
        <v>24</v>
      </c>
      <c r="AD42">
        <v>0.95</v>
      </c>
      <c r="AE42">
        <v>0.95</v>
      </c>
      <c r="AF42">
        <v>0.95</v>
      </c>
      <c r="AG42">
        <v>60</v>
      </c>
    </row>
    <row r="43" spans="2:33">
      <c r="B43" s="2" t="s">
        <v>16</v>
      </c>
      <c r="C43">
        <v>0.8</v>
      </c>
      <c r="D43">
        <v>0.78</v>
      </c>
      <c r="E43">
        <v>0.79</v>
      </c>
      <c r="F43">
        <v>60</v>
      </c>
      <c r="H43" s="2" t="s">
        <v>25</v>
      </c>
      <c r="I43" t="s">
        <v>24</v>
      </c>
      <c r="J43">
        <v>0.84</v>
      </c>
      <c r="K43">
        <v>0.83</v>
      </c>
      <c r="L43">
        <v>0.84</v>
      </c>
      <c r="M43">
        <v>60</v>
      </c>
      <c r="O43" s="2" t="s">
        <v>25</v>
      </c>
      <c r="P43" t="s">
        <v>24</v>
      </c>
      <c r="Q43">
        <v>0.84</v>
      </c>
      <c r="R43">
        <v>0.83</v>
      </c>
      <c r="S43">
        <v>0.84</v>
      </c>
      <c r="T43">
        <v>60</v>
      </c>
      <c r="V43" s="2" t="s">
        <v>16</v>
      </c>
      <c r="W43">
        <v>0.95</v>
      </c>
      <c r="X43">
        <v>0.95</v>
      </c>
      <c r="Y43">
        <v>0.95</v>
      </c>
      <c r="Z43">
        <v>60</v>
      </c>
      <c r="AB43" s="2" t="s">
        <v>25</v>
      </c>
      <c r="AC43" t="s">
        <v>24</v>
      </c>
      <c r="AD43">
        <v>0.97</v>
      </c>
      <c r="AE43">
        <v>0.97</v>
      </c>
      <c r="AF43">
        <v>0.97</v>
      </c>
      <c r="AG43">
        <v>60</v>
      </c>
    </row>
    <row r="44" spans="2:33">
      <c r="B44" s="6" t="s">
        <v>14</v>
      </c>
      <c r="C44" s="7" t="s">
        <v>8</v>
      </c>
      <c r="D44" s="8" t="s">
        <v>9</v>
      </c>
      <c r="E44" s="8" t="s">
        <v>10</v>
      </c>
    </row>
    <row r="45" spans="2:33">
      <c r="B45" s="8">
        <f>AVERAGE(E41,L41,S41,Y41,AF41)</f>
        <v>0.87199999999999989</v>
      </c>
      <c r="C45" s="8">
        <f>AVERAGE(C43,J43,Q43,W43,AD43)</f>
        <v>0.87999999999999989</v>
      </c>
      <c r="D45" s="8">
        <f>AVERAGE(D43,K43,R43,X43,AE43)</f>
        <v>0.87199999999999989</v>
      </c>
      <c r="E45" s="8">
        <f>AVERAGE(E43,L43,S43,Y43,AF43)</f>
        <v>0.87799999999999989</v>
      </c>
    </row>
    <row r="46" spans="2:33">
      <c r="B46" s="4" t="s">
        <v>3</v>
      </c>
    </row>
    <row r="47" spans="2:33">
      <c r="B47" s="2"/>
      <c r="C47" t="s">
        <v>8</v>
      </c>
      <c r="D47" t="s">
        <v>9</v>
      </c>
      <c r="E47" t="s">
        <v>10</v>
      </c>
      <c r="F47" t="s">
        <v>11</v>
      </c>
      <c r="H47" s="2"/>
      <c r="J47" t="s">
        <v>8</v>
      </c>
      <c r="K47" t="s">
        <v>9</v>
      </c>
      <c r="L47" t="s">
        <v>10</v>
      </c>
      <c r="M47" t="s">
        <v>11</v>
      </c>
      <c r="O47" s="2"/>
      <c r="Q47" t="s">
        <v>8</v>
      </c>
      <c r="R47" t="s">
        <v>9</v>
      </c>
      <c r="S47" t="s">
        <v>10</v>
      </c>
      <c r="T47" t="s">
        <v>11</v>
      </c>
      <c r="V47" t="s">
        <v>8</v>
      </c>
      <c r="W47" t="s">
        <v>34</v>
      </c>
      <c r="X47" t="s">
        <v>35</v>
      </c>
      <c r="Y47" t="s">
        <v>36</v>
      </c>
      <c r="AB47" s="2"/>
      <c r="AD47" t="s">
        <v>8</v>
      </c>
      <c r="AE47" t="s">
        <v>9</v>
      </c>
      <c r="AF47" t="s">
        <v>10</v>
      </c>
      <c r="AG47" t="s">
        <v>11</v>
      </c>
    </row>
    <row r="48" spans="2:33">
      <c r="B48" s="1"/>
      <c r="H48" s="1"/>
      <c r="O48" s="1"/>
      <c r="V48" s="2"/>
      <c r="AB48" s="1"/>
    </row>
    <row r="49" spans="2:33">
      <c r="B49" s="2" t="s">
        <v>12</v>
      </c>
      <c r="C49">
        <v>0.86</v>
      </c>
      <c r="D49">
        <v>0.96</v>
      </c>
      <c r="E49">
        <v>0.91</v>
      </c>
      <c r="F49">
        <v>45</v>
      </c>
      <c r="H49" s="2"/>
      <c r="I49" t="s">
        <v>12</v>
      </c>
      <c r="J49">
        <v>0.98</v>
      </c>
      <c r="K49">
        <v>0.96</v>
      </c>
      <c r="L49">
        <v>0.97</v>
      </c>
      <c r="M49">
        <v>45</v>
      </c>
      <c r="O49" s="2"/>
      <c r="P49" t="s">
        <v>12</v>
      </c>
      <c r="Q49">
        <v>0.98</v>
      </c>
      <c r="R49">
        <v>1</v>
      </c>
      <c r="S49">
        <v>0.99</v>
      </c>
      <c r="T49">
        <v>45</v>
      </c>
      <c r="V49" s="1" t="s">
        <v>12</v>
      </c>
      <c r="W49">
        <v>1</v>
      </c>
      <c r="X49">
        <v>1</v>
      </c>
      <c r="Y49">
        <v>1</v>
      </c>
      <c r="Z49">
        <v>45</v>
      </c>
      <c r="AB49" s="2"/>
      <c r="AC49" t="s">
        <v>12</v>
      </c>
      <c r="AD49">
        <v>1</v>
      </c>
      <c r="AE49">
        <v>1</v>
      </c>
      <c r="AF49">
        <v>1</v>
      </c>
      <c r="AG49">
        <v>46</v>
      </c>
    </row>
    <row r="50" spans="2:33">
      <c r="B50" s="2" t="s">
        <v>13</v>
      </c>
      <c r="C50">
        <v>0.8</v>
      </c>
      <c r="D50">
        <v>0.53</v>
      </c>
      <c r="E50">
        <v>0.64</v>
      </c>
      <c r="F50">
        <v>15</v>
      </c>
      <c r="H50" s="2"/>
      <c r="I50" t="s">
        <v>13</v>
      </c>
      <c r="J50">
        <v>0.88</v>
      </c>
      <c r="K50">
        <v>0.93</v>
      </c>
      <c r="L50">
        <v>0.9</v>
      </c>
      <c r="M50">
        <v>15</v>
      </c>
      <c r="O50" s="2"/>
      <c r="P50" t="s">
        <v>13</v>
      </c>
      <c r="Q50">
        <v>1</v>
      </c>
      <c r="R50">
        <v>0.93</v>
      </c>
      <c r="S50">
        <v>0.97</v>
      </c>
      <c r="T50">
        <v>15</v>
      </c>
      <c r="V50" s="2" t="s">
        <v>13</v>
      </c>
      <c r="W50">
        <v>1</v>
      </c>
      <c r="X50">
        <v>1</v>
      </c>
      <c r="Y50">
        <v>1</v>
      </c>
      <c r="Z50">
        <v>15</v>
      </c>
      <c r="AB50" s="2"/>
      <c r="AC50" t="s">
        <v>13</v>
      </c>
      <c r="AD50">
        <v>1</v>
      </c>
      <c r="AE50">
        <v>1</v>
      </c>
      <c r="AF50">
        <v>1</v>
      </c>
      <c r="AG50">
        <v>14</v>
      </c>
    </row>
    <row r="51" spans="2:33">
      <c r="B51" s="1"/>
      <c r="H51" s="1"/>
      <c r="O51" s="1"/>
      <c r="V51" s="2"/>
      <c r="AB51" s="1"/>
    </row>
    <row r="52" spans="2:33">
      <c r="B52" s="1"/>
      <c r="H52" s="1"/>
      <c r="O52" s="1"/>
      <c r="V52" s="2"/>
      <c r="AB52" s="1"/>
    </row>
    <row r="53" spans="2:33">
      <c r="B53" s="2" t="s">
        <v>14</v>
      </c>
      <c r="E53">
        <v>0.85</v>
      </c>
      <c r="F53">
        <v>60</v>
      </c>
      <c r="H53" s="2" t="s">
        <v>21</v>
      </c>
      <c r="I53" t="s">
        <v>22</v>
      </c>
      <c r="L53">
        <v>0.95</v>
      </c>
      <c r="M53">
        <v>60</v>
      </c>
      <c r="O53" s="2" t="s">
        <v>21</v>
      </c>
      <c r="P53" t="s">
        <v>22</v>
      </c>
      <c r="S53">
        <v>0.98</v>
      </c>
      <c r="T53">
        <v>60</v>
      </c>
      <c r="V53" s="1" t="s">
        <v>14</v>
      </c>
      <c r="Y53">
        <v>1</v>
      </c>
      <c r="Z53">
        <v>60</v>
      </c>
      <c r="AB53" s="2" t="s">
        <v>21</v>
      </c>
      <c r="AC53" t="s">
        <v>22</v>
      </c>
      <c r="AF53">
        <v>1</v>
      </c>
      <c r="AG53">
        <v>60</v>
      </c>
    </row>
    <row r="54" spans="2:33">
      <c r="B54" s="2" t="s">
        <v>15</v>
      </c>
      <c r="C54">
        <v>0.83</v>
      </c>
      <c r="D54">
        <v>0.74</v>
      </c>
      <c r="E54">
        <v>0.77</v>
      </c>
      <c r="F54">
        <v>60</v>
      </c>
      <c r="H54" s="2" t="s">
        <v>23</v>
      </c>
      <c r="I54" t="s">
        <v>24</v>
      </c>
      <c r="J54">
        <v>0.93</v>
      </c>
      <c r="K54">
        <v>0.94</v>
      </c>
      <c r="L54">
        <v>0.93</v>
      </c>
      <c r="M54">
        <v>60</v>
      </c>
      <c r="O54" s="2" t="s">
        <v>23</v>
      </c>
      <c r="P54" t="s">
        <v>24</v>
      </c>
      <c r="Q54">
        <v>0.99</v>
      </c>
      <c r="R54">
        <v>0.97</v>
      </c>
      <c r="S54">
        <v>0.98</v>
      </c>
      <c r="T54">
        <v>60</v>
      </c>
      <c r="V54" s="2" t="s">
        <v>15</v>
      </c>
      <c r="W54">
        <v>1</v>
      </c>
      <c r="X54">
        <v>1</v>
      </c>
      <c r="Y54">
        <v>1</v>
      </c>
      <c r="Z54">
        <v>60</v>
      </c>
      <c r="AB54" s="2" t="s">
        <v>23</v>
      </c>
      <c r="AC54" t="s">
        <v>24</v>
      </c>
      <c r="AD54">
        <v>1</v>
      </c>
      <c r="AE54">
        <v>1</v>
      </c>
      <c r="AF54">
        <v>1</v>
      </c>
      <c r="AG54">
        <v>60</v>
      </c>
    </row>
    <row r="55" spans="2:33">
      <c r="B55" s="2" t="s">
        <v>16</v>
      </c>
      <c r="C55">
        <v>0.85</v>
      </c>
      <c r="D55">
        <v>0.85</v>
      </c>
      <c r="E55">
        <v>0.84</v>
      </c>
      <c r="F55">
        <v>60</v>
      </c>
      <c r="H55" s="2" t="s">
        <v>25</v>
      </c>
      <c r="I55" t="s">
        <v>24</v>
      </c>
      <c r="J55">
        <v>0.95</v>
      </c>
      <c r="K55">
        <v>0.95</v>
      </c>
      <c r="L55">
        <v>0.95</v>
      </c>
      <c r="M55">
        <v>60</v>
      </c>
      <c r="O55" s="2" t="s">
        <v>25</v>
      </c>
      <c r="P55" t="s">
        <v>24</v>
      </c>
      <c r="Q55">
        <v>0.98</v>
      </c>
      <c r="R55">
        <v>0.98</v>
      </c>
      <c r="S55">
        <v>0.98</v>
      </c>
      <c r="T55">
        <v>60</v>
      </c>
      <c r="V55" s="2" t="s">
        <v>16</v>
      </c>
      <c r="W55">
        <v>1</v>
      </c>
      <c r="X55">
        <v>1</v>
      </c>
      <c r="Y55">
        <v>1</v>
      </c>
      <c r="Z55">
        <v>60</v>
      </c>
      <c r="AB55" s="2" t="s">
        <v>25</v>
      </c>
      <c r="AC55" t="s">
        <v>24</v>
      </c>
      <c r="AD55">
        <v>1</v>
      </c>
      <c r="AE55">
        <v>1</v>
      </c>
      <c r="AF55">
        <v>1</v>
      </c>
      <c r="AG55">
        <v>60</v>
      </c>
    </row>
    <row r="56" spans="2:33">
      <c r="B56" s="6" t="s">
        <v>14</v>
      </c>
      <c r="C56" s="7" t="s">
        <v>8</v>
      </c>
      <c r="D56" s="8" t="s">
        <v>9</v>
      </c>
      <c r="E56" s="8" t="s">
        <v>10</v>
      </c>
      <c r="V56" s="2"/>
    </row>
    <row r="57" spans="2:33">
      <c r="B57" s="8">
        <f>AVERAGE(E53,L53,S53,Y53,AF53)</f>
        <v>0.95599999999999985</v>
      </c>
      <c r="C57" s="8">
        <f>AVERAGE(C55,J55,Q55,W55,AD55)</f>
        <v>0.95599999999999985</v>
      </c>
      <c r="D57" s="8">
        <f t="shared" ref="D57" si="1">AVERAGE(D55,J55,R55,X55,AE55)</f>
        <v>0.95599999999999985</v>
      </c>
      <c r="E57" s="8">
        <f t="shared" ref="E57" si="2">AVERAGE(E55,K55,S55,Y55,AF55)</f>
        <v>0.95399999999999996</v>
      </c>
      <c r="V57" s="2"/>
    </row>
    <row r="58" spans="2:33">
      <c r="B58" s="4" t="s">
        <v>4</v>
      </c>
    </row>
    <row r="59" spans="2:33">
      <c r="B59" s="2"/>
      <c r="C59" t="s">
        <v>8</v>
      </c>
      <c r="D59" t="s">
        <v>9</v>
      </c>
      <c r="E59" t="s">
        <v>10</v>
      </c>
      <c r="F59" t="s">
        <v>11</v>
      </c>
      <c r="H59" s="2"/>
      <c r="J59" t="s">
        <v>8</v>
      </c>
      <c r="K59" t="s">
        <v>9</v>
      </c>
      <c r="L59" t="s">
        <v>10</v>
      </c>
      <c r="M59" t="s">
        <v>11</v>
      </c>
      <c r="O59" s="2"/>
      <c r="P59" t="s">
        <v>42</v>
      </c>
      <c r="Q59" t="s">
        <v>43</v>
      </c>
      <c r="R59" t="s">
        <v>44</v>
      </c>
      <c r="S59" t="s">
        <v>45</v>
      </c>
      <c r="T59" t="s">
        <v>11</v>
      </c>
      <c r="V59" t="s">
        <v>37</v>
      </c>
      <c r="W59" t="s">
        <v>38</v>
      </c>
      <c r="X59" t="s">
        <v>39</v>
      </c>
      <c r="Y59" t="s">
        <v>11</v>
      </c>
      <c r="AB59" s="2"/>
      <c r="AD59" t="s">
        <v>8</v>
      </c>
      <c r="AE59" t="s">
        <v>9</v>
      </c>
      <c r="AF59" t="s">
        <v>10</v>
      </c>
      <c r="AG59" t="s">
        <v>11</v>
      </c>
    </row>
    <row r="60" spans="2:33">
      <c r="B60" s="1"/>
      <c r="H60" s="1"/>
      <c r="O60" s="1"/>
      <c r="V60" s="2"/>
      <c r="AB60" s="1"/>
    </row>
    <row r="61" spans="2:33">
      <c r="B61" s="2" t="s">
        <v>12</v>
      </c>
      <c r="C61">
        <v>0.92</v>
      </c>
      <c r="D61">
        <v>0.94</v>
      </c>
      <c r="E61">
        <v>0.93</v>
      </c>
      <c r="F61">
        <v>47</v>
      </c>
      <c r="H61" s="2"/>
      <c r="I61" t="s">
        <v>12</v>
      </c>
      <c r="J61">
        <v>0.96</v>
      </c>
      <c r="K61">
        <v>0.98</v>
      </c>
      <c r="L61">
        <v>0.97</v>
      </c>
      <c r="M61">
        <v>48</v>
      </c>
      <c r="O61" s="2"/>
      <c r="P61" t="s">
        <v>12</v>
      </c>
      <c r="Q61">
        <v>1</v>
      </c>
      <c r="R61">
        <v>0.95</v>
      </c>
      <c r="S61">
        <v>0.98</v>
      </c>
      <c r="T61">
        <v>42</v>
      </c>
      <c r="V61" s="1" t="s">
        <v>12</v>
      </c>
      <c r="W61">
        <v>0.96</v>
      </c>
      <c r="X61">
        <v>1</v>
      </c>
      <c r="Y61">
        <v>0.98</v>
      </c>
      <c r="Z61">
        <v>44</v>
      </c>
      <c r="AB61" s="2"/>
      <c r="AC61" t="s">
        <v>12</v>
      </c>
      <c r="AD61">
        <v>0.98</v>
      </c>
      <c r="AE61">
        <v>1</v>
      </c>
      <c r="AF61">
        <v>0.99</v>
      </c>
      <c r="AG61">
        <v>45</v>
      </c>
    </row>
    <row r="62" spans="2:33">
      <c r="B62" s="2" t="s">
        <v>13</v>
      </c>
      <c r="C62">
        <v>0.75</v>
      </c>
      <c r="D62">
        <v>0.69</v>
      </c>
      <c r="E62">
        <v>0.72</v>
      </c>
      <c r="F62">
        <v>13</v>
      </c>
      <c r="H62" s="2"/>
      <c r="I62" t="s">
        <v>13</v>
      </c>
      <c r="J62">
        <v>0.91</v>
      </c>
      <c r="K62">
        <v>0.83</v>
      </c>
      <c r="L62">
        <v>0.87</v>
      </c>
      <c r="M62">
        <v>12</v>
      </c>
      <c r="O62" s="2"/>
      <c r="P62" t="s">
        <v>13</v>
      </c>
      <c r="Q62">
        <v>0.9</v>
      </c>
      <c r="R62">
        <v>1</v>
      </c>
      <c r="S62">
        <v>0.95</v>
      </c>
      <c r="T62">
        <v>18</v>
      </c>
      <c r="V62" s="2" t="s">
        <v>13</v>
      </c>
      <c r="W62">
        <v>1</v>
      </c>
      <c r="X62">
        <v>0.88</v>
      </c>
      <c r="Y62">
        <v>0.93</v>
      </c>
      <c r="Z62">
        <v>16</v>
      </c>
      <c r="AB62" s="2"/>
      <c r="AC62" t="s">
        <v>13</v>
      </c>
      <c r="AD62">
        <v>1</v>
      </c>
      <c r="AE62">
        <v>0.93</v>
      </c>
      <c r="AF62">
        <v>0.97</v>
      </c>
      <c r="AG62">
        <v>15</v>
      </c>
    </row>
    <row r="63" spans="2:33">
      <c r="B63" s="1"/>
      <c r="H63" s="1"/>
      <c r="O63" s="1"/>
      <c r="V63" s="2"/>
      <c r="AB63" s="1"/>
    </row>
    <row r="64" spans="2:33">
      <c r="B64" s="2" t="s">
        <v>14</v>
      </c>
      <c r="E64">
        <v>0.88</v>
      </c>
      <c r="F64">
        <v>60</v>
      </c>
      <c r="H64" s="2" t="s">
        <v>21</v>
      </c>
      <c r="I64" t="s">
        <v>22</v>
      </c>
      <c r="L64">
        <v>0.95</v>
      </c>
      <c r="M64">
        <v>60</v>
      </c>
      <c r="O64" s="2" t="s">
        <v>21</v>
      </c>
      <c r="P64" t="s">
        <v>22</v>
      </c>
      <c r="S64">
        <v>0.97</v>
      </c>
      <c r="T64">
        <v>60</v>
      </c>
      <c r="V64" s="1" t="s">
        <v>14</v>
      </c>
      <c r="Y64">
        <v>0.97</v>
      </c>
      <c r="Z64">
        <v>60</v>
      </c>
      <c r="AB64" s="2" t="s">
        <v>21</v>
      </c>
      <c r="AC64" t="s">
        <v>22</v>
      </c>
      <c r="AF64">
        <v>0.98</v>
      </c>
      <c r="AG64">
        <v>60</v>
      </c>
    </row>
    <row r="65" spans="2:33">
      <c r="B65" s="2" t="s">
        <v>15</v>
      </c>
      <c r="C65">
        <v>0.83</v>
      </c>
      <c r="D65">
        <v>0.81</v>
      </c>
      <c r="E65">
        <v>0.82</v>
      </c>
      <c r="F65">
        <v>60</v>
      </c>
      <c r="H65" s="2" t="s">
        <v>23</v>
      </c>
      <c r="I65" t="s">
        <v>24</v>
      </c>
      <c r="J65">
        <v>0.93</v>
      </c>
      <c r="K65">
        <v>0.91</v>
      </c>
      <c r="L65">
        <v>0.92</v>
      </c>
      <c r="M65">
        <v>60</v>
      </c>
      <c r="O65" s="2" t="s">
        <v>23</v>
      </c>
      <c r="P65" t="s">
        <v>24</v>
      </c>
      <c r="Q65">
        <v>0.95</v>
      </c>
      <c r="R65">
        <v>0.98</v>
      </c>
      <c r="S65">
        <v>0.96</v>
      </c>
      <c r="T65">
        <v>60</v>
      </c>
      <c r="V65" s="2" t="s">
        <v>15</v>
      </c>
      <c r="W65">
        <v>0.98</v>
      </c>
      <c r="X65">
        <v>0.94</v>
      </c>
      <c r="Y65">
        <v>0.96</v>
      </c>
      <c r="Z65">
        <v>60</v>
      </c>
      <c r="AB65" s="2" t="s">
        <v>23</v>
      </c>
      <c r="AC65" t="s">
        <v>24</v>
      </c>
      <c r="AD65">
        <v>0.99</v>
      </c>
      <c r="AE65">
        <v>0.97</v>
      </c>
      <c r="AF65">
        <v>0.98</v>
      </c>
      <c r="AG65">
        <v>60</v>
      </c>
    </row>
    <row r="66" spans="2:33">
      <c r="B66" s="2" t="s">
        <v>16</v>
      </c>
      <c r="C66">
        <v>0.88</v>
      </c>
      <c r="D66">
        <v>0.88</v>
      </c>
      <c r="E66">
        <v>0.88</v>
      </c>
      <c r="F66">
        <v>60</v>
      </c>
      <c r="H66" s="2" t="s">
        <v>25</v>
      </c>
      <c r="I66" t="s">
        <v>24</v>
      </c>
      <c r="J66">
        <v>0.95</v>
      </c>
      <c r="K66">
        <v>0.95</v>
      </c>
      <c r="L66">
        <v>0.95</v>
      </c>
      <c r="M66">
        <v>60</v>
      </c>
      <c r="O66" s="2" t="s">
        <v>25</v>
      </c>
      <c r="P66" t="s">
        <v>24</v>
      </c>
      <c r="Q66">
        <v>0.97</v>
      </c>
      <c r="R66">
        <v>0.97</v>
      </c>
      <c r="S66">
        <v>0.97</v>
      </c>
      <c r="T66">
        <v>60</v>
      </c>
      <c r="V66" s="2" t="s">
        <v>16</v>
      </c>
      <c r="W66">
        <v>0.97</v>
      </c>
      <c r="X66">
        <v>0.97</v>
      </c>
      <c r="Y66">
        <v>0.97</v>
      </c>
      <c r="Z66">
        <v>60</v>
      </c>
      <c r="AB66" s="2" t="s">
        <v>25</v>
      </c>
      <c r="AC66" t="s">
        <v>24</v>
      </c>
      <c r="AD66">
        <v>0.98</v>
      </c>
      <c r="AE66">
        <v>0.98</v>
      </c>
      <c r="AF66">
        <v>0.98</v>
      </c>
      <c r="AG66">
        <v>60</v>
      </c>
    </row>
    <row r="67" spans="2:33">
      <c r="B67" s="6" t="s">
        <v>14</v>
      </c>
      <c r="C67" s="7" t="s">
        <v>8</v>
      </c>
      <c r="D67" s="8" t="s">
        <v>9</v>
      </c>
      <c r="E67" s="8" t="s">
        <v>10</v>
      </c>
      <c r="V67" s="2"/>
    </row>
    <row r="68" spans="2:33">
      <c r="B68" s="8">
        <f>AVERAGE(E64,L64,S64,Y64,AF64)</f>
        <v>0.95</v>
      </c>
      <c r="C68" s="8">
        <f>AVERAGE(C66,J66,Q66,W66,AD66)</f>
        <v>0.95</v>
      </c>
      <c r="D68" s="8">
        <f t="shared" ref="D68" si="3">AVERAGE(D66,J66,R66,X66,AE66)</f>
        <v>0.95</v>
      </c>
      <c r="E68" s="8">
        <f t="shared" ref="E68" si="4">AVERAGE(E66,K66,S66,Y66,AF66)</f>
        <v>0.95</v>
      </c>
      <c r="V68" s="2"/>
    </row>
    <row r="69" spans="2:33">
      <c r="B69" s="4" t="s">
        <v>6</v>
      </c>
    </row>
    <row r="70" spans="2:33">
      <c r="B70" s="2"/>
      <c r="C70" t="s">
        <v>8</v>
      </c>
      <c r="D70" t="s">
        <v>9</v>
      </c>
      <c r="E70" t="s">
        <v>10</v>
      </c>
      <c r="F70" t="s">
        <v>11</v>
      </c>
      <c r="H70" s="2"/>
      <c r="J70" t="s">
        <v>8</v>
      </c>
      <c r="K70" t="s">
        <v>9</v>
      </c>
      <c r="L70" t="s">
        <v>10</v>
      </c>
      <c r="M70" t="s">
        <v>11</v>
      </c>
      <c r="O70" s="2"/>
      <c r="Q70" t="s">
        <v>8</v>
      </c>
      <c r="R70" t="s">
        <v>9</v>
      </c>
      <c r="S70" t="s">
        <v>10</v>
      </c>
      <c r="T70" t="s">
        <v>11</v>
      </c>
      <c r="V70" t="s">
        <v>8</v>
      </c>
      <c r="W70" t="s">
        <v>9</v>
      </c>
      <c r="X70" t="s">
        <v>40</v>
      </c>
      <c r="Y70" t="s">
        <v>41</v>
      </c>
      <c r="AB70" s="2"/>
      <c r="AC70" t="s">
        <v>46</v>
      </c>
      <c r="AD70" t="s">
        <v>49</v>
      </c>
      <c r="AE70" t="s">
        <v>50</v>
      </c>
      <c r="AF70" t="e" cm="1">
        <f t="array" ref="AF70">-score   s</f>
        <v>#NAME?</v>
      </c>
      <c r="AG70" t="s">
        <v>36</v>
      </c>
    </row>
    <row r="71" spans="2:33">
      <c r="B71" s="1"/>
      <c r="H71" s="1"/>
      <c r="O71" s="1"/>
      <c r="V71" s="2"/>
      <c r="AB71" s="1"/>
    </row>
    <row r="72" spans="2:33">
      <c r="B72" s="2" t="s">
        <v>12</v>
      </c>
      <c r="C72">
        <v>1</v>
      </c>
      <c r="D72">
        <v>1</v>
      </c>
      <c r="E72">
        <v>1</v>
      </c>
      <c r="F72">
        <v>48</v>
      </c>
      <c r="H72" s="2"/>
      <c r="I72" t="s">
        <v>12</v>
      </c>
      <c r="J72">
        <v>1</v>
      </c>
      <c r="K72">
        <v>0.95</v>
      </c>
      <c r="L72">
        <v>0.98</v>
      </c>
      <c r="M72">
        <v>42</v>
      </c>
      <c r="O72" s="2"/>
      <c r="P72" t="s">
        <v>12</v>
      </c>
      <c r="Q72">
        <v>0.97</v>
      </c>
      <c r="R72">
        <v>0.83</v>
      </c>
      <c r="S72">
        <v>0.9</v>
      </c>
      <c r="T72">
        <v>47</v>
      </c>
      <c r="V72" s="1" t="s">
        <v>12</v>
      </c>
      <c r="W72">
        <v>0.98</v>
      </c>
      <c r="X72">
        <v>1</v>
      </c>
      <c r="Y72">
        <v>0.99</v>
      </c>
      <c r="Z72">
        <v>44</v>
      </c>
      <c r="AB72" s="2"/>
      <c r="AC72" t="s">
        <v>12</v>
      </c>
      <c r="AD72">
        <v>0.98</v>
      </c>
      <c r="AE72">
        <v>1</v>
      </c>
      <c r="AF72">
        <v>0.99</v>
      </c>
      <c r="AG72">
        <v>45</v>
      </c>
    </row>
    <row r="73" spans="2:33">
      <c r="B73" s="2" t="s">
        <v>13</v>
      </c>
      <c r="C73">
        <v>1</v>
      </c>
      <c r="D73">
        <v>1</v>
      </c>
      <c r="E73">
        <v>1</v>
      </c>
      <c r="F73">
        <v>12</v>
      </c>
      <c r="H73" s="2"/>
      <c r="I73" t="s">
        <v>13</v>
      </c>
      <c r="J73">
        <v>0.9</v>
      </c>
      <c r="K73">
        <v>1</v>
      </c>
      <c r="L73">
        <v>0.95</v>
      </c>
      <c r="M73">
        <v>18</v>
      </c>
      <c r="O73" s="2"/>
      <c r="P73" t="s">
        <v>13</v>
      </c>
      <c r="Q73">
        <v>0.6</v>
      </c>
      <c r="R73">
        <v>0.92</v>
      </c>
      <c r="S73">
        <v>0.73</v>
      </c>
      <c r="T73">
        <v>13</v>
      </c>
      <c r="V73" s="2" t="s">
        <v>13</v>
      </c>
      <c r="W73">
        <v>1</v>
      </c>
      <c r="X73">
        <v>0.94</v>
      </c>
      <c r="Y73">
        <v>0.97</v>
      </c>
      <c r="Z73">
        <v>16</v>
      </c>
      <c r="AB73" s="2"/>
      <c r="AC73" t="s">
        <v>13</v>
      </c>
      <c r="AD73">
        <v>1</v>
      </c>
      <c r="AE73">
        <v>0.93</v>
      </c>
      <c r="AF73">
        <v>0.97</v>
      </c>
      <c r="AG73">
        <v>15</v>
      </c>
    </row>
    <row r="74" spans="2:33">
      <c r="B74" s="1"/>
      <c r="H74" s="1"/>
      <c r="O74" s="1"/>
      <c r="V74" s="2"/>
      <c r="AB74" s="1"/>
    </row>
    <row r="75" spans="2:33">
      <c r="B75" s="2" t="s">
        <v>14</v>
      </c>
      <c r="E75">
        <v>1</v>
      </c>
      <c r="F75">
        <v>60</v>
      </c>
      <c r="H75" s="2" t="s">
        <v>21</v>
      </c>
      <c r="I75" t="s">
        <v>22</v>
      </c>
      <c r="L75">
        <v>0.97</v>
      </c>
      <c r="M75">
        <v>60</v>
      </c>
      <c r="O75" s="2" t="s">
        <v>21</v>
      </c>
      <c r="P75" t="s">
        <v>22</v>
      </c>
      <c r="S75">
        <v>0.85</v>
      </c>
      <c r="T75">
        <v>60</v>
      </c>
      <c r="V75" s="1" t="s">
        <v>14</v>
      </c>
      <c r="Y75">
        <v>0.98</v>
      </c>
      <c r="Z75">
        <v>60</v>
      </c>
      <c r="AB75" s="2" t="s">
        <v>21</v>
      </c>
      <c r="AC75" t="s">
        <v>22</v>
      </c>
      <c r="AF75">
        <v>0.98</v>
      </c>
      <c r="AG75">
        <v>60</v>
      </c>
    </row>
    <row r="76" spans="2:33">
      <c r="B76" s="2" t="s">
        <v>15</v>
      </c>
      <c r="C76">
        <v>1</v>
      </c>
      <c r="D76">
        <v>1</v>
      </c>
      <c r="E76">
        <v>1</v>
      </c>
      <c r="F76">
        <v>60</v>
      </c>
      <c r="H76" s="2" t="s">
        <v>23</v>
      </c>
      <c r="I76" t="s">
        <v>24</v>
      </c>
      <c r="J76">
        <v>0.95</v>
      </c>
      <c r="K76">
        <v>0.98</v>
      </c>
      <c r="L76">
        <v>0.96</v>
      </c>
      <c r="M76">
        <v>60</v>
      </c>
      <c r="O76" s="2" t="s">
        <v>23</v>
      </c>
      <c r="P76" t="s">
        <v>24</v>
      </c>
      <c r="Q76">
        <v>0.79</v>
      </c>
      <c r="R76">
        <v>0.88</v>
      </c>
      <c r="S76">
        <v>0.81</v>
      </c>
      <c r="T76">
        <v>60</v>
      </c>
      <c r="V76" s="2" t="s">
        <v>15</v>
      </c>
      <c r="W76">
        <v>0.99</v>
      </c>
      <c r="X76">
        <v>0.97</v>
      </c>
      <c r="Y76">
        <v>0.98</v>
      </c>
      <c r="Z76">
        <v>60</v>
      </c>
      <c r="AB76" s="2" t="s">
        <v>23</v>
      </c>
      <c r="AC76" t="s">
        <v>24</v>
      </c>
      <c r="AD76">
        <v>0.99</v>
      </c>
      <c r="AE76">
        <v>0.97</v>
      </c>
      <c r="AF76">
        <v>0.98</v>
      </c>
      <c r="AG76">
        <v>60</v>
      </c>
    </row>
    <row r="77" spans="2:33">
      <c r="B77" s="2" t="s">
        <v>16</v>
      </c>
      <c r="C77">
        <v>1</v>
      </c>
      <c r="D77">
        <v>1</v>
      </c>
      <c r="E77">
        <v>1</v>
      </c>
      <c r="F77">
        <v>60</v>
      </c>
      <c r="H77" s="2" t="s">
        <v>25</v>
      </c>
      <c r="I77" t="s">
        <v>24</v>
      </c>
      <c r="J77">
        <v>0.97</v>
      </c>
      <c r="K77">
        <v>0.97</v>
      </c>
      <c r="L77">
        <v>0.97</v>
      </c>
      <c r="M77">
        <v>60</v>
      </c>
      <c r="O77" s="2" t="s">
        <v>25</v>
      </c>
      <c r="P77" t="s">
        <v>24</v>
      </c>
      <c r="Q77">
        <v>0.89</v>
      </c>
      <c r="R77">
        <v>0.85</v>
      </c>
      <c r="S77">
        <v>0.86</v>
      </c>
      <c r="T77">
        <v>60</v>
      </c>
      <c r="V77" s="2" t="s">
        <v>16</v>
      </c>
      <c r="W77">
        <v>0.98</v>
      </c>
      <c r="X77">
        <v>0.98</v>
      </c>
      <c r="Y77">
        <v>0.98</v>
      </c>
      <c r="Z77">
        <v>60</v>
      </c>
      <c r="AB77" s="2" t="s">
        <v>25</v>
      </c>
      <c r="AC77" t="s">
        <v>24</v>
      </c>
      <c r="AD77">
        <v>0.98</v>
      </c>
      <c r="AE77">
        <v>0.98</v>
      </c>
      <c r="AF77">
        <v>0.98</v>
      </c>
      <c r="AG77">
        <v>60</v>
      </c>
    </row>
    <row r="78" spans="2:33">
      <c r="B78" s="6" t="s">
        <v>14</v>
      </c>
      <c r="C78" s="7" t="s">
        <v>8</v>
      </c>
      <c r="D78" s="8" t="s">
        <v>9</v>
      </c>
      <c r="E78" s="8" t="s">
        <v>10</v>
      </c>
    </row>
    <row r="79" spans="2:33">
      <c r="B79" s="8">
        <f>AVERAGE(E75,L75,S75,Y75,AF75)</f>
        <v>0.95599999999999985</v>
      </c>
      <c r="C79" s="8">
        <f>AVERAGE(C77,J77,Q77,W77,AD77)</f>
        <v>0.96400000000000008</v>
      </c>
      <c r="D79" s="8">
        <f t="shared" ref="D79" si="5">AVERAGE(D77,J77,R77,X77,AE77)</f>
        <v>0.95599999999999985</v>
      </c>
      <c r="E79" s="8">
        <f t="shared" ref="E79" si="6">AVERAGE(E77,K77,S77,Y77,AF77)</f>
        <v>0.95799999999999996</v>
      </c>
    </row>
    <row r="80" spans="2:33">
      <c r="B80" s="4" t="s">
        <v>7</v>
      </c>
    </row>
    <row r="82" spans="2:33">
      <c r="B82" s="2"/>
      <c r="C82" t="s">
        <v>8</v>
      </c>
      <c r="D82" t="s">
        <v>9</v>
      </c>
      <c r="E82" t="s">
        <v>10</v>
      </c>
      <c r="F82" t="s">
        <v>11</v>
      </c>
      <c r="H82" s="2"/>
      <c r="J82" t="s">
        <v>8</v>
      </c>
      <c r="K82" t="s">
        <v>9</v>
      </c>
      <c r="L82" t="s">
        <v>10</v>
      </c>
      <c r="M82" t="s">
        <v>11</v>
      </c>
      <c r="O82" s="2"/>
      <c r="P82" t="s">
        <v>46</v>
      </c>
      <c r="Q82" t="s">
        <v>47</v>
      </c>
      <c r="R82" t="s">
        <v>48</v>
      </c>
      <c r="S82" t="e" cm="1">
        <f t="array" ref="S82">-score   s</f>
        <v>#NAME?</v>
      </c>
      <c r="T82" t="s">
        <v>36</v>
      </c>
      <c r="V82" t="s">
        <v>8</v>
      </c>
      <c r="W82" t="s">
        <v>32</v>
      </c>
      <c r="X82" t="s">
        <v>33</v>
      </c>
      <c r="Y82" t="s">
        <v>11</v>
      </c>
      <c r="AB82" s="2"/>
      <c r="AC82" t="s">
        <v>51</v>
      </c>
      <c r="AD82" t="s">
        <v>52</v>
      </c>
      <c r="AE82" t="s">
        <v>53</v>
      </c>
      <c r="AF82" t="s">
        <v>54</v>
      </c>
      <c r="AG82" t="s">
        <v>55</v>
      </c>
    </row>
    <row r="83" spans="2:33">
      <c r="B83" s="1"/>
      <c r="H83" s="1"/>
      <c r="O83" s="1"/>
      <c r="V83" s="2"/>
      <c r="AB83" s="1"/>
    </row>
    <row r="84" spans="2:33">
      <c r="B84" s="2" t="s">
        <v>12</v>
      </c>
      <c r="C84">
        <v>0.94</v>
      </c>
      <c r="D84">
        <v>0.96</v>
      </c>
      <c r="E84">
        <v>0.95</v>
      </c>
      <c r="F84">
        <v>47</v>
      </c>
      <c r="H84" s="2"/>
      <c r="I84" t="s">
        <v>12</v>
      </c>
      <c r="J84">
        <v>0.96</v>
      </c>
      <c r="K84">
        <v>0.94</v>
      </c>
      <c r="L84">
        <v>0.95</v>
      </c>
      <c r="M84">
        <v>48</v>
      </c>
      <c r="O84" s="2"/>
      <c r="P84" t="s">
        <v>12</v>
      </c>
      <c r="Q84">
        <v>0.93</v>
      </c>
      <c r="R84">
        <v>0.88</v>
      </c>
      <c r="S84">
        <v>0.9</v>
      </c>
      <c r="T84">
        <v>42</v>
      </c>
      <c r="V84" s="1" t="s">
        <v>12</v>
      </c>
      <c r="W84">
        <v>0.91</v>
      </c>
      <c r="X84">
        <v>0.93</v>
      </c>
      <c r="Y84">
        <v>0.92</v>
      </c>
      <c r="Z84">
        <v>44</v>
      </c>
      <c r="AB84" s="2"/>
      <c r="AC84" t="s">
        <v>12</v>
      </c>
      <c r="AD84">
        <v>0.94</v>
      </c>
      <c r="AE84">
        <v>0.98</v>
      </c>
      <c r="AF84">
        <v>0.96</v>
      </c>
      <c r="AG84">
        <v>45</v>
      </c>
    </row>
    <row r="85" spans="2:33">
      <c r="B85" s="2" t="s">
        <v>13</v>
      </c>
      <c r="C85">
        <v>0.83</v>
      </c>
      <c r="D85">
        <v>0.77</v>
      </c>
      <c r="E85">
        <v>0.8</v>
      </c>
      <c r="F85">
        <v>13</v>
      </c>
      <c r="H85" s="2"/>
      <c r="I85" t="s">
        <v>13</v>
      </c>
      <c r="J85">
        <v>0.77</v>
      </c>
      <c r="K85">
        <v>0.83</v>
      </c>
      <c r="L85">
        <v>0.8</v>
      </c>
      <c r="M85">
        <v>12</v>
      </c>
      <c r="O85" s="2"/>
      <c r="P85" t="s">
        <v>13</v>
      </c>
      <c r="Q85">
        <v>0.75</v>
      </c>
      <c r="R85">
        <v>0.83</v>
      </c>
      <c r="S85">
        <v>0.79</v>
      </c>
      <c r="T85">
        <v>18</v>
      </c>
      <c r="V85" s="2" t="s">
        <v>13</v>
      </c>
      <c r="W85">
        <v>0.8</v>
      </c>
      <c r="X85">
        <v>0.75</v>
      </c>
      <c r="Y85">
        <v>0.77</v>
      </c>
      <c r="Z85">
        <v>16</v>
      </c>
      <c r="AB85" s="2"/>
      <c r="AC85" t="s">
        <v>13</v>
      </c>
      <c r="AD85">
        <v>0.92</v>
      </c>
      <c r="AE85">
        <v>0.8</v>
      </c>
      <c r="AF85">
        <v>0.86</v>
      </c>
      <c r="AG85">
        <v>15</v>
      </c>
    </row>
    <row r="86" spans="2:33">
      <c r="B86" s="1"/>
      <c r="H86" s="1"/>
      <c r="O86" s="1"/>
      <c r="V86" s="2"/>
      <c r="AB86" s="1"/>
    </row>
    <row r="87" spans="2:33">
      <c r="B87" s="2" t="s">
        <v>14</v>
      </c>
      <c r="E87">
        <v>0.92</v>
      </c>
      <c r="F87">
        <v>60</v>
      </c>
      <c r="H87" s="2" t="s">
        <v>21</v>
      </c>
      <c r="I87" t="s">
        <v>22</v>
      </c>
      <c r="L87">
        <v>0.92</v>
      </c>
      <c r="M87">
        <v>60</v>
      </c>
      <c r="O87" s="2" t="s">
        <v>21</v>
      </c>
      <c r="P87" t="s">
        <v>22</v>
      </c>
      <c r="S87">
        <v>0.87</v>
      </c>
      <c r="T87">
        <v>60</v>
      </c>
      <c r="V87" s="1" t="s">
        <v>14</v>
      </c>
      <c r="Y87">
        <v>0.88</v>
      </c>
      <c r="Z87">
        <v>60</v>
      </c>
      <c r="AB87" s="2" t="s">
        <v>21</v>
      </c>
      <c r="AC87" t="s">
        <v>22</v>
      </c>
      <c r="AF87">
        <v>0.93</v>
      </c>
      <c r="AG87">
        <v>60</v>
      </c>
    </row>
    <row r="88" spans="2:33">
      <c r="B88" s="2" t="s">
        <v>15</v>
      </c>
      <c r="C88">
        <v>0.89</v>
      </c>
      <c r="D88">
        <v>0.86</v>
      </c>
      <c r="E88">
        <v>0.87</v>
      </c>
      <c r="F88">
        <v>60</v>
      </c>
      <c r="H88" s="2" t="s">
        <v>23</v>
      </c>
      <c r="I88" t="s">
        <v>24</v>
      </c>
      <c r="J88">
        <v>0.86</v>
      </c>
      <c r="K88">
        <v>0.89</v>
      </c>
      <c r="L88">
        <v>0.87</v>
      </c>
      <c r="M88">
        <v>60</v>
      </c>
      <c r="O88" s="2" t="s">
        <v>23</v>
      </c>
      <c r="P88" t="s">
        <v>24</v>
      </c>
      <c r="Q88">
        <v>0.84</v>
      </c>
      <c r="R88">
        <v>0.86</v>
      </c>
      <c r="S88">
        <v>0.85</v>
      </c>
      <c r="T88">
        <v>60</v>
      </c>
      <c r="V88" s="2" t="s">
        <v>15</v>
      </c>
      <c r="W88">
        <v>0.86</v>
      </c>
      <c r="X88">
        <v>0.84</v>
      </c>
      <c r="Y88">
        <v>0.85</v>
      </c>
      <c r="Z88">
        <v>60</v>
      </c>
      <c r="AB88" s="2" t="s">
        <v>23</v>
      </c>
      <c r="AC88" t="s">
        <v>24</v>
      </c>
      <c r="AD88">
        <v>0.93</v>
      </c>
      <c r="AE88">
        <v>0.89</v>
      </c>
      <c r="AF88">
        <v>0.91</v>
      </c>
      <c r="AG88">
        <v>60</v>
      </c>
    </row>
    <row r="89" spans="2:33">
      <c r="B89" s="2" t="s">
        <v>16</v>
      </c>
      <c r="C89">
        <v>0.91</v>
      </c>
      <c r="D89">
        <v>0.92</v>
      </c>
      <c r="E89">
        <v>0.92</v>
      </c>
      <c r="F89">
        <v>60</v>
      </c>
      <c r="H89" s="2" t="s">
        <v>25</v>
      </c>
      <c r="I89" t="s">
        <v>24</v>
      </c>
      <c r="J89">
        <v>0.92</v>
      </c>
      <c r="K89">
        <v>0.92</v>
      </c>
      <c r="L89">
        <v>0.92</v>
      </c>
      <c r="M89">
        <v>60</v>
      </c>
      <c r="O89" s="2" t="s">
        <v>25</v>
      </c>
      <c r="P89" t="s">
        <v>24</v>
      </c>
      <c r="Q89">
        <v>0.87</v>
      </c>
      <c r="R89">
        <v>0.87</v>
      </c>
      <c r="S89">
        <v>0.87</v>
      </c>
      <c r="T89">
        <v>60</v>
      </c>
      <c r="V89" s="2" t="s">
        <v>16</v>
      </c>
      <c r="W89">
        <v>0.88</v>
      </c>
      <c r="X89">
        <v>0.88</v>
      </c>
      <c r="Y89">
        <v>0.88</v>
      </c>
      <c r="Z89">
        <v>60</v>
      </c>
      <c r="AB89" s="2" t="s">
        <v>25</v>
      </c>
      <c r="AC89" t="s">
        <v>24</v>
      </c>
      <c r="AD89">
        <v>0.93</v>
      </c>
      <c r="AE89">
        <v>0.93</v>
      </c>
      <c r="AF89">
        <v>0.93</v>
      </c>
      <c r="AG89">
        <v>60</v>
      </c>
    </row>
    <row r="90" spans="2:33">
      <c r="B90" s="6" t="s">
        <v>14</v>
      </c>
      <c r="C90" s="7" t="s">
        <v>8</v>
      </c>
      <c r="D90" s="8" t="s">
        <v>9</v>
      </c>
      <c r="E90" s="8" t="s">
        <v>10</v>
      </c>
    </row>
    <row r="91" spans="2:33">
      <c r="B91" s="8">
        <f>AVERAGE(E87,L87,S87,Y87,AF87)</f>
        <v>0.90399999999999991</v>
      </c>
      <c r="C91" s="8">
        <f>AVERAGE(C89,J89,Q89,W89,AD89)</f>
        <v>0.90199999999999991</v>
      </c>
      <c r="D91" s="8">
        <f t="shared" ref="D91" si="7">AVERAGE(D89,J89,R89,X89,AE89)</f>
        <v>0.90399999999999991</v>
      </c>
      <c r="E91" s="8">
        <f t="shared" ref="E91" si="8">AVERAGE(E89,K89,S89,Y89,AF89)</f>
        <v>0.90399999999999991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D48A-822D-401D-919D-C8008FBF81EF}">
  <dimension ref="A1:P15"/>
  <sheetViews>
    <sheetView workbookViewId="0">
      <selection activeCell="L17" sqref="L17"/>
    </sheetView>
  </sheetViews>
  <sheetFormatPr defaultRowHeight="18.75"/>
  <cols>
    <col min="1" max="1" width="10.375" bestFit="1" customWidth="1"/>
    <col min="6" max="6" width="12.375" bestFit="1" customWidth="1"/>
    <col min="12" max="12" width="12.375" bestFit="1" customWidth="1"/>
    <col min="13" max="13" width="11.75" customWidth="1"/>
  </cols>
  <sheetData>
    <row r="1" spans="1:16">
      <c r="A1" s="3" t="s">
        <v>56</v>
      </c>
      <c r="F1" s="3" t="s">
        <v>60</v>
      </c>
    </row>
    <row r="2" spans="1:16">
      <c r="A2" t="s">
        <v>14</v>
      </c>
      <c r="B2" t="s">
        <v>8</v>
      </c>
      <c r="C2" t="s">
        <v>9</v>
      </c>
      <c r="D2" t="s">
        <v>10</v>
      </c>
      <c r="F2" t="s">
        <v>14</v>
      </c>
      <c r="G2" t="s">
        <v>8</v>
      </c>
      <c r="H2" t="s">
        <v>9</v>
      </c>
      <c r="I2" t="s">
        <v>10</v>
      </c>
    </row>
    <row r="3" spans="1:16">
      <c r="A3">
        <v>0.90399999999999991</v>
      </c>
      <c r="B3">
        <v>0.90199999999999991</v>
      </c>
      <c r="C3">
        <v>0.90399999999999991</v>
      </c>
      <c r="D3">
        <v>0.90399999999999991</v>
      </c>
      <c r="F3">
        <v>0.95</v>
      </c>
      <c r="G3">
        <v>0.95</v>
      </c>
      <c r="H3">
        <v>0.95</v>
      </c>
      <c r="I3">
        <v>0.95</v>
      </c>
    </row>
    <row r="4" spans="1:16">
      <c r="M4" t="s">
        <v>64</v>
      </c>
      <c r="N4" t="s">
        <v>65</v>
      </c>
      <c r="O4" t="s">
        <v>66</v>
      </c>
      <c r="P4" t="s">
        <v>67</v>
      </c>
    </row>
    <row r="5" spans="1:16">
      <c r="A5" s="3" t="s">
        <v>57</v>
      </c>
      <c r="F5" s="3" t="s">
        <v>61</v>
      </c>
      <c r="L5" t="s">
        <v>56</v>
      </c>
      <c r="M5">
        <v>0.90399999999999991</v>
      </c>
      <c r="N5">
        <v>0.90199999999999991</v>
      </c>
      <c r="O5">
        <v>0.90399999999999991</v>
      </c>
      <c r="P5">
        <v>0.90399999999999991</v>
      </c>
    </row>
    <row r="6" spans="1:16">
      <c r="A6" t="s">
        <v>14</v>
      </c>
      <c r="B6" t="s">
        <v>8</v>
      </c>
      <c r="C6" t="s">
        <v>9</v>
      </c>
      <c r="D6" t="s">
        <v>10</v>
      </c>
      <c r="F6" t="s">
        <v>14</v>
      </c>
      <c r="G6" t="s">
        <v>8</v>
      </c>
      <c r="H6" t="s">
        <v>9</v>
      </c>
      <c r="I6" t="s">
        <v>10</v>
      </c>
      <c r="L6" t="s">
        <v>57</v>
      </c>
      <c r="M6">
        <v>0.94800000000000006</v>
      </c>
      <c r="N6">
        <v>0.94750000000000001</v>
      </c>
      <c r="O6">
        <v>0.94800000000000006</v>
      </c>
      <c r="P6">
        <v>0.95</v>
      </c>
    </row>
    <row r="7" spans="1:16">
      <c r="A7">
        <v>0.94800000000000006</v>
      </c>
      <c r="B7">
        <v>0.94750000000000001</v>
      </c>
      <c r="C7">
        <v>0.94800000000000006</v>
      </c>
      <c r="D7">
        <v>0.95</v>
      </c>
      <c r="F7">
        <v>0.95599999999999985</v>
      </c>
      <c r="G7">
        <v>0.95599999999999985</v>
      </c>
      <c r="H7">
        <v>0.95599999999999985</v>
      </c>
      <c r="I7">
        <v>0.95399999999999996</v>
      </c>
      <c r="L7" t="s">
        <v>58</v>
      </c>
      <c r="M7">
        <v>0.87199999999999989</v>
      </c>
      <c r="N7">
        <v>0.87999999999999989</v>
      </c>
      <c r="O7">
        <v>0.87199999999999989</v>
      </c>
      <c r="P7">
        <v>0.87799999999999989</v>
      </c>
    </row>
    <row r="8" spans="1:16">
      <c r="L8" t="s">
        <v>59</v>
      </c>
      <c r="M8">
        <v>0.95199999999999996</v>
      </c>
      <c r="N8">
        <v>0.95400000000000007</v>
      </c>
      <c r="O8">
        <v>0.95199999999999996</v>
      </c>
      <c r="P8">
        <v>0.95199999999999996</v>
      </c>
    </row>
    <row r="9" spans="1:16">
      <c r="A9" s="3" t="s">
        <v>58</v>
      </c>
      <c r="F9" s="3" t="s">
        <v>62</v>
      </c>
      <c r="L9" t="s">
        <v>60</v>
      </c>
      <c r="M9">
        <v>0.95</v>
      </c>
      <c r="N9">
        <v>0.95</v>
      </c>
      <c r="O9">
        <v>0.95</v>
      </c>
      <c r="P9">
        <v>0.95</v>
      </c>
    </row>
    <row r="10" spans="1:16">
      <c r="A10" t="s">
        <v>14</v>
      </c>
      <c r="B10" t="s">
        <v>8</v>
      </c>
      <c r="C10" t="s">
        <v>9</v>
      </c>
      <c r="D10" t="s">
        <v>10</v>
      </c>
      <c r="F10" t="s">
        <v>14</v>
      </c>
      <c r="G10" t="s">
        <v>8</v>
      </c>
      <c r="H10" t="s">
        <v>9</v>
      </c>
      <c r="I10" t="s">
        <v>10</v>
      </c>
      <c r="L10" t="s">
        <v>61</v>
      </c>
      <c r="M10">
        <v>0.95599999999999985</v>
      </c>
      <c r="N10">
        <v>0.95599999999999985</v>
      </c>
      <c r="O10">
        <v>0.95599999999999985</v>
      </c>
      <c r="P10">
        <v>0.95399999999999996</v>
      </c>
    </row>
    <row r="11" spans="1:16">
      <c r="A11">
        <v>0.87199999999999989</v>
      </c>
      <c r="B11">
        <v>0.87999999999999989</v>
      </c>
      <c r="C11">
        <v>0.87199999999999989</v>
      </c>
      <c r="D11">
        <v>0.87799999999999989</v>
      </c>
      <c r="F11">
        <v>0.94600000000000006</v>
      </c>
      <c r="G11">
        <v>0.95199999999999996</v>
      </c>
      <c r="H11">
        <v>0.94600000000000006</v>
      </c>
      <c r="I11">
        <v>0.94800000000000006</v>
      </c>
      <c r="L11" t="s">
        <v>62</v>
      </c>
      <c r="M11">
        <v>0.94600000000000006</v>
      </c>
      <c r="N11">
        <v>0.95199999999999996</v>
      </c>
      <c r="O11">
        <v>0.94600000000000006</v>
      </c>
      <c r="P11">
        <v>0.94800000000000006</v>
      </c>
    </row>
    <row r="12" spans="1:16">
      <c r="L12" t="s">
        <v>63</v>
      </c>
      <c r="M12">
        <v>0.95599999999999985</v>
      </c>
      <c r="N12">
        <v>0.96400000000000008</v>
      </c>
      <c r="O12">
        <v>0.95599999999999985</v>
      </c>
      <c r="P12">
        <v>0.95799999999999996</v>
      </c>
    </row>
    <row r="13" spans="1:16">
      <c r="A13" s="3" t="s">
        <v>59</v>
      </c>
      <c r="F13" s="3" t="s">
        <v>63</v>
      </c>
    </row>
    <row r="14" spans="1:16">
      <c r="A14" t="s">
        <v>14</v>
      </c>
      <c r="B14" t="s">
        <v>8</v>
      </c>
      <c r="C14" t="s">
        <v>9</v>
      </c>
      <c r="D14" t="s">
        <v>10</v>
      </c>
      <c r="F14" t="s">
        <v>14</v>
      </c>
      <c r="G14" t="s">
        <v>8</v>
      </c>
      <c r="H14" t="s">
        <v>9</v>
      </c>
      <c r="I14" t="s">
        <v>10</v>
      </c>
    </row>
    <row r="15" spans="1:16">
      <c r="A15">
        <v>0.95199999999999996</v>
      </c>
      <c r="B15">
        <v>0.95400000000000007</v>
      </c>
      <c r="C15">
        <v>0.95199999999999996</v>
      </c>
      <c r="D15">
        <v>0.95199999999999996</v>
      </c>
      <c r="F15">
        <v>0.95599999999999985</v>
      </c>
      <c r="G15">
        <v>0.96400000000000008</v>
      </c>
      <c r="H15">
        <v>0.95599999999999985</v>
      </c>
      <c r="I15">
        <v>0.95799999999999996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4B49-21E3-4612-8F6E-4892087F53A5}">
  <dimension ref="B4:F13"/>
  <sheetViews>
    <sheetView tabSelected="1" workbookViewId="0">
      <selection activeCell="K12" sqref="K12"/>
    </sheetView>
  </sheetViews>
  <sheetFormatPr defaultRowHeight="18.75"/>
  <sheetData>
    <row r="4" spans="2:6">
      <c r="C4" t="s">
        <v>68</v>
      </c>
      <c r="D4" t="s">
        <v>69</v>
      </c>
      <c r="E4" t="s">
        <v>70</v>
      </c>
      <c r="F4" t="s">
        <v>71</v>
      </c>
    </row>
    <row r="5" spans="2:6">
      <c r="B5" t="s">
        <v>72</v>
      </c>
      <c r="C5">
        <v>0.90400000000000003</v>
      </c>
      <c r="D5">
        <v>0.90200000000000002</v>
      </c>
      <c r="E5">
        <v>0.90400000000000003</v>
      </c>
      <c r="F5">
        <v>0.90400000000000003</v>
      </c>
    </row>
    <row r="6" spans="2:6">
      <c r="B6" t="s">
        <v>4</v>
      </c>
      <c r="C6">
        <v>0.95</v>
      </c>
      <c r="D6">
        <v>0.95</v>
      </c>
      <c r="E6">
        <v>0.95</v>
      </c>
      <c r="F6">
        <v>0.95</v>
      </c>
    </row>
    <row r="7" spans="2:6">
      <c r="B7" t="s">
        <v>73</v>
      </c>
      <c r="C7">
        <v>0.94799999999999995</v>
      </c>
      <c r="D7">
        <v>0.94799999999999995</v>
      </c>
      <c r="E7">
        <v>0.94799999999999995</v>
      </c>
      <c r="F7">
        <v>0.95</v>
      </c>
    </row>
    <row r="8" spans="2:6">
      <c r="B8" t="s">
        <v>3</v>
      </c>
      <c r="C8">
        <v>0.95599999999999996</v>
      </c>
      <c r="D8">
        <v>0.95599999999999996</v>
      </c>
      <c r="E8">
        <v>0.95599999999999996</v>
      </c>
      <c r="F8">
        <v>0.95399999999999996</v>
      </c>
    </row>
    <row r="9" spans="2:6">
      <c r="B9" t="s">
        <v>74</v>
      </c>
      <c r="C9">
        <v>0.872</v>
      </c>
      <c r="D9">
        <v>0.88</v>
      </c>
      <c r="E9">
        <v>0.872</v>
      </c>
      <c r="F9">
        <v>0.878</v>
      </c>
    </row>
    <row r="10" spans="2:6">
      <c r="B10" t="s">
        <v>76</v>
      </c>
      <c r="C10">
        <v>0.94599999999999995</v>
      </c>
      <c r="D10">
        <v>0.95199999999999996</v>
      </c>
      <c r="E10">
        <v>0.94599999999999995</v>
      </c>
      <c r="F10">
        <v>0.94799999999999995</v>
      </c>
    </row>
    <row r="11" spans="2:6">
      <c r="B11" t="s">
        <v>75</v>
      </c>
      <c r="C11">
        <v>0.95199999999999996</v>
      </c>
      <c r="D11">
        <v>0.95399999999999996</v>
      </c>
      <c r="E11">
        <v>0.95199999999999996</v>
      </c>
      <c r="F11">
        <v>0.95199999999999996</v>
      </c>
    </row>
    <row r="12" spans="2:6">
      <c r="B12" t="s">
        <v>77</v>
      </c>
      <c r="C12">
        <v>0.95599999999999996</v>
      </c>
      <c r="D12">
        <v>0.96399999999999997</v>
      </c>
      <c r="E12">
        <v>0.95599999999999996</v>
      </c>
      <c r="F12">
        <v>0.95799999999999996</v>
      </c>
    </row>
    <row r="13" spans="2:6">
      <c r="B13" t="s">
        <v>78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公亮 中村</dc:creator>
  <cp:lastModifiedBy>公亮 中村</cp:lastModifiedBy>
  <dcterms:created xsi:type="dcterms:W3CDTF">2025-09-25T16:23:13Z</dcterms:created>
  <dcterms:modified xsi:type="dcterms:W3CDTF">2025-10-04T05:37:49Z</dcterms:modified>
</cp:coreProperties>
</file>